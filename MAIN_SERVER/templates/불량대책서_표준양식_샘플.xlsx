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책서" sheetId="1" state="visible" r:id="rId1"/>
    <sheet name="근거" sheetId="2" state="visible" r:id="rId2"/>
    <sheet name="판단자료" sheetId="3" state="visible" r:id="rId3"/>
    <sheet name="대체품" sheetId="4" state="visible" r:id="rId4"/>
  </sheets>
  <definedNames>
    <definedName name="reply_containment_scope">'대책서'!$B$25</definedName>
    <definedName name="reply_containment">'대책서'!$B$26</definedName>
    <definedName name="reply_root_cause">'대책서'!$B$29</definedName>
    <definedName name="reply_escape_cause">'대책서'!$B$32</definedName>
    <definedName name="reply_prevention">'대책서'!$B$35</definedName>
    <definedName name="reply_verify_period">'대책서'!$B$39</definedName>
    <definedName name="reply_verify_recipe">'대책서'!$D$39</definedName>
    <definedName name="reply_verify_inspected">'대책서'!$E$39</definedName>
    <definedName name="reply_verify_defective">'대책서'!$F$39</definedName>
    <definedName name="reply_verify_status">'대책서'!$H$39</definedName>
    <definedName name="reply_verify_note">'대책서'!$B$40</definedName>
    <definedName name="reply_closed_at">'대책서'!$F$41</definedName>
    <definedName name="reply_closure_note">'대책서'!$B$42</definedName>
    <definedName name="_xlnm.Print_Area" localSheetId="0">'대책서'!$A$1:$H$43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%"/>
    <numFmt numFmtId="165" formatCode="0.0&quot;배&quot;"/>
    <numFmt numFmtId="166" formatCode="#,##0&quot; PPM&quot;"/>
  </numFmts>
  <fonts count="21">
    <font>
      <name val="Calibri"/>
      <family val="2"/>
      <color theme="1"/>
      <sz val="11"/>
      <scheme val="minor"/>
    </font>
    <font>
      <name val="맑은 고딕"/>
      <b val="1"/>
      <color rgb="00262626"/>
      <sz val="17"/>
    </font>
    <font>
      <name val="맑은 고딕"/>
      <b val="1"/>
      <color rgb="00262626"/>
      <sz val="9"/>
    </font>
    <font>
      <name val="맑은 고딕"/>
      <b val="1"/>
      <color rgb="00262626"/>
      <sz val="8"/>
    </font>
    <font>
      <name val="맑은 고딕"/>
      <color rgb="00262626"/>
      <sz val="9"/>
    </font>
    <font>
      <name val="맑은 고딕"/>
      <b val="1"/>
      <color rgb="00FFFFFF"/>
      <sz val="9"/>
    </font>
    <font>
      <name val="맑은 고딕"/>
      <b val="1"/>
      <color rgb="00808080"/>
      <sz val="7.5"/>
    </font>
    <font>
      <name val="맑은 고딕"/>
      <color rgb="00262626"/>
      <sz val="11"/>
    </font>
    <font>
      <name val="맑은 고딕"/>
      <color rgb="00808080"/>
      <sz val="10"/>
    </font>
    <font>
      <name val="맑은 고딕"/>
      <b val="1"/>
      <color rgb="009C2A2A"/>
      <sz val="11"/>
    </font>
    <font>
      <name val="맑은 고딕"/>
      <color rgb="00262626"/>
      <sz val="10"/>
    </font>
    <font>
      <name val="맑은 고딕"/>
      <b val="1"/>
      <color rgb="00262626"/>
      <sz val="8.5"/>
    </font>
    <font>
      <name val="맑은 고딕"/>
      <color rgb="00262626"/>
      <sz val="8.5"/>
    </font>
    <font>
      <name val="맑은 고딕"/>
      <b val="1"/>
      <color rgb="001F3864"/>
      <sz val="9"/>
    </font>
    <font>
      <name val="맑은 고딕"/>
      <color rgb="001F3864"/>
      <sz val="8"/>
    </font>
    <font>
      <name val="맑은 고딕"/>
      <color rgb="00808080"/>
      <sz val="7.5"/>
    </font>
    <font>
      <name val="맑은 고딕"/>
      <b val="1"/>
      <color rgb="00808080"/>
      <sz val="8"/>
    </font>
    <font>
      <name val="맑은 고딕"/>
      <color rgb="00262626"/>
      <sz val="8"/>
    </font>
    <font>
      <name val="맑은 고딕"/>
      <b val="1"/>
      <color rgb="001F3864"/>
      <sz val="8"/>
    </font>
    <font>
      <name val="맑은 고딕"/>
      <b val="1"/>
      <color rgb="009C2A2A"/>
      <sz val="8"/>
    </font>
    <font>
      <name val="맑은 고딕"/>
      <color rgb="00595959"/>
      <sz val="7.5"/>
    </font>
  </fonts>
  <fills count="11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3864"/>
      </patternFill>
    </fill>
    <fill>
      <patternFill patternType="solid">
        <fgColor rgb="00404040"/>
      </patternFill>
    </fill>
    <fill>
      <patternFill patternType="solid">
        <fgColor rgb="00FCE9E9"/>
      </patternFill>
    </fill>
    <fill>
      <patternFill patternType="solid">
        <fgColor rgb="00DDE6F3"/>
      </patternFill>
    </fill>
    <fill>
      <patternFill patternType="solid">
        <fgColor rgb="00EEF3FA"/>
      </patternFill>
    </fill>
    <fill>
      <patternFill patternType="solid">
        <fgColor rgb="00FFFBF0"/>
      </patternFill>
    </fill>
    <fill>
      <patternFill patternType="solid">
        <fgColor rgb="00DCE3EF"/>
      </patternFill>
    </fill>
    <fill>
      <patternFill patternType="solid">
        <fgColor rgb="00FFF6D9"/>
      </patternFill>
    </fill>
  </fills>
  <borders count="7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/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  <border>
      <left/>
      <right/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 wrapText="1" indent="1"/>
    </xf>
    <xf numFmtId="0" fontId="0" fillId="3" borderId="1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 indent="1"/>
    </xf>
    <xf numFmtId="0" fontId="6" fillId="2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4" fontId="9" fillId="5" borderId="1" applyAlignment="1" pivotButton="0" quotePrefix="0" xfId="0">
      <alignment horizontal="center" vertical="center"/>
    </xf>
    <xf numFmtId="165" fontId="9" fillId="5" borderId="1" applyAlignment="1" pivotButton="0" quotePrefix="0" xfId="0">
      <alignment horizontal="center" vertical="center"/>
    </xf>
    <xf numFmtId="166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left" vertical="center" wrapText="1" indent="1"/>
    </xf>
    <xf numFmtId="0" fontId="12" fillId="0" borderId="1" applyAlignment="1" pivotButton="0" quotePrefix="0" xfId="0">
      <alignment horizontal="left" vertical="top" wrapText="1" indent="1"/>
    </xf>
    <xf numFmtId="0" fontId="13" fillId="6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left" vertical="top" wrapText="1" indent="1"/>
    </xf>
    <xf numFmtId="0" fontId="15" fillId="2" borderId="1" applyAlignment="1" pivotButton="0" quotePrefix="0" xfId="0">
      <alignment horizontal="center" vertical="center"/>
    </xf>
    <xf numFmtId="0" fontId="16" fillId="8" borderId="1" applyAlignment="1" applyProtection="1" pivotButton="0" quotePrefix="0" xfId="0">
      <alignment horizontal="left" vertical="center" indent="1"/>
      <protection locked="0" hidden="0"/>
    </xf>
    <xf numFmtId="0" fontId="17" fillId="8" borderId="1" applyAlignment="1" applyProtection="1" pivotButton="0" quotePrefix="0" xfId="0">
      <alignment horizontal="left" vertical="top" wrapText="1" indent="1"/>
      <protection locked="0" hidden="0"/>
    </xf>
    <xf numFmtId="0" fontId="4" fillId="8" borderId="1" applyAlignment="1" applyProtection="1" pivotButton="0" quotePrefix="0" xfId="0">
      <alignment horizontal="center" vertical="center"/>
      <protection locked="0" hidden="0"/>
    </xf>
    <xf numFmtId="3" fontId="4" fillId="8" borderId="1" applyAlignment="1" applyProtection="1" pivotButton="0" quotePrefix="0" xfId="0">
      <alignment horizontal="center" vertical="center"/>
      <protection locked="0" hidden="0"/>
    </xf>
    <xf numFmtId="164" fontId="4" fillId="0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0" borderId="2" applyAlignment="1" pivotButton="0" quotePrefix="0" xfId="0">
      <alignment horizontal="left" vertical="center" wrapText="1" indent="1"/>
    </xf>
    <xf numFmtId="0" fontId="2" fillId="9" borderId="1" applyAlignment="1" pivotButton="0" quotePrefix="0" xfId="0">
      <alignment horizontal="left" vertical="center" indent="1"/>
    </xf>
    <xf numFmtId="0" fontId="3" fillId="9" borderId="1" applyAlignment="1" pivotButton="0" quotePrefix="0" xfId="0">
      <alignment horizontal="center" vertical="center" wrapText="1"/>
    </xf>
    <xf numFmtId="0" fontId="0" fillId="0" borderId="5" pivotButton="0" quotePrefix="0" xfId="0"/>
    <xf numFmtId="3" fontId="4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 indent="1"/>
    </xf>
    <xf numFmtId="0" fontId="18" fillId="2" borderId="1" applyAlignment="1" pivotButton="0" quotePrefix="0" xfId="0">
      <alignment horizontal="left" vertical="center" indent="1"/>
    </xf>
    <xf numFmtId="165" fontId="4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top" wrapText="1" indent="1"/>
    </xf>
    <xf numFmtId="0" fontId="17" fillId="0" borderId="1" applyAlignment="1" pivotButton="0" quotePrefix="0" xfId="0">
      <alignment horizontal="center" vertical="center"/>
    </xf>
    <xf numFmtId="164" fontId="17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2" borderId="1" applyAlignment="1" pivotButton="0" quotePrefix="0" xfId="0">
      <alignment horizontal="left" vertical="center" indent="1"/>
    </xf>
    <xf numFmtId="0" fontId="19" fillId="5" borderId="1" applyAlignment="1" pivotButton="0" quotePrefix="0" xfId="0">
      <alignment horizontal="left" vertical="center" wrapText="1" indent="1"/>
    </xf>
    <xf numFmtId="0" fontId="20" fillId="0" borderId="2" applyAlignment="1" pivotButton="0" quotePrefix="0" xfId="0">
      <alignment horizontal="left" vertical="center" wrapText="1" indent="1"/>
    </xf>
    <xf numFmtId="0" fontId="3" fillId="10" borderId="1" applyAlignment="1" pivotButton="0" quotePrefix="0" xfId="0">
      <alignment horizontal="left" vertical="top" wrapText="1" indent="1"/>
    </xf>
    <xf numFmtId="0" fontId="15" fillId="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76200</colOff>
      <row>0</row>
      <rowOff>95250</rowOff>
    </from>
    <ext cx="40005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1" customWidth="1" min="4" max="4"/>
    <col width="14" customWidth="1" min="5" max="5"/>
    <col width="12" customWidth="1" min="6" max="6"/>
    <col width="11" customWidth="1" min="7" max="7"/>
    <col width="11" customWidth="1" min="8" max="8"/>
  </cols>
  <sheetData>
    <row r="1" ht="15" customHeight="1">
      <c r="A1" s="1" t="inlineStr">
        <is>
          <t>불  량  대  책  서</t>
        </is>
      </c>
      <c r="E1" s="2" t="inlineStr">
        <is>
          <t>결
재</t>
        </is>
      </c>
      <c r="F1" s="3" t="inlineStr">
        <is>
          <t>작성</t>
        </is>
      </c>
      <c r="G1" s="3" t="inlineStr">
        <is>
          <t>검토</t>
        </is>
      </c>
      <c r="H1" s="3" t="inlineStr">
        <is>
          <t>승인</t>
        </is>
      </c>
    </row>
    <row r="2" ht="17" customHeight="1">
      <c r="F2" s="4" t="n"/>
      <c r="G2" s="4" t="n"/>
      <c r="H2" s="4" t="n"/>
    </row>
    <row r="3" ht="17" customHeight="1"/>
    <row r="4" ht="6" customHeight="1"/>
    <row r="5" ht="19" customHeight="1">
      <c r="A5" s="5" t="inlineStr">
        <is>
          <t>문서번호</t>
        </is>
      </c>
      <c r="B5" s="6" t="inlineStr">
        <is>
          <t>QA-CAP-CRACK-20260819-001</t>
        </is>
      </c>
      <c r="E5" s="5" t="inlineStr">
        <is>
          <t>발행일시</t>
        </is>
      </c>
      <c r="F5" s="6" t="inlineStr">
        <is>
          <t>2026-08-19 09:00:00</t>
        </is>
      </c>
    </row>
    <row r="6" ht="26" customHeight="1">
      <c r="A6" s="5" t="inlineStr">
        <is>
          <t>대상 부품</t>
        </is>
      </c>
      <c r="B6" s="7" t="inlineStr">
        <is>
          <t>CAP · Murata GRM188R72A104KA35D MLCC Decoupling Capacitor  (C-001 / MLCC)</t>
        </is>
      </c>
      <c r="E6" s="5" t="inlineStr">
        <is>
          <t>불량 유형</t>
        </is>
      </c>
      <c r="F6" s="6" t="inlineStr">
        <is>
          <t>CRACK</t>
        </is>
      </c>
    </row>
    <row r="7" ht="19" customHeight="1">
      <c r="A7" s="5" t="inlineStr">
        <is>
          <t>주관 담당</t>
        </is>
      </c>
      <c r="B7" s="6" t="inlineStr">
        <is>
          <t>품질보증팀 / 배정 대기</t>
        </is>
      </c>
      <c r="E7" s="5" t="inlineStr">
        <is>
          <t>협조 부서</t>
        </is>
      </c>
      <c r="F7" s="6" t="inlineStr">
        <is>
          <t>설비팀 · 생산팀 · 구매</t>
        </is>
      </c>
    </row>
    <row r="8" ht="6" customHeight="1"/>
    <row r="9" ht="23" customHeight="1">
      <c r="A9" s="8" t="inlineStr">
        <is>
          <r>
            <rPr>
              <rFont val="맑은 고딕"/>
              <b val="1"/>
              <color rgb="001F3864"/>
              <sz val="7.5"/>
            </rPr>
            <t xml:space="preserve">  ISSUED  </t>
          </r>
          <r>
            <rPr>
              <rFont val="맑은 고딕"/>
              <color rgb="00E8ECF2"/>
              <sz val="8"/>
            </rPr>
            <t xml:space="preserve">   채울 칸 6개   </t>
          </r>
          <r>
            <rPr>
              <rFont val="맑은 고딕"/>
              <b val="1"/>
              <color rgb="00FFD166"/>
              <sz val="9"/>
            </rPr>
            <t xml:space="preserve">①  </t>
          </r>
          <r>
            <rPr>
              <rFont val="맑은 고딕"/>
              <b val="1"/>
              <color rgb="00FFD166"/>
              <sz val="9"/>
            </rPr>
            <t>오늘 18:00</t>
          </r>
          <r>
            <rPr>
              <rFont val="맑은 고딕"/>
              <b val="1"/>
              <color rgb="00E8ECF2"/>
              <sz val="8"/>
            </rPr>
            <t xml:space="preserve">   ②~⑥ 각 칸 기한</t>
          </r>
          <r>
            <rPr>
              <rFont val="맑은 고딕"/>
              <color rgb="00A9B6C6"/>
              <sz val="7.5"/>
            </rPr>
            <t xml:space="preserve">   현황·분석은 채워져 있습니다</t>
          </r>
        </is>
      </c>
    </row>
    <row r="10" ht="17" customHeight="1">
      <c r="A10" s="9" t="inlineStr">
        <is>
          <t>1.  불량 현황        시스템 자동 집계 · 수정 금지</t>
        </is>
      </c>
    </row>
    <row r="11" ht="19" customHeight="1">
      <c r="A11" s="5" t="inlineStr">
        <is>
          <t>집계 기간</t>
        </is>
      </c>
      <c r="B11" s="6" t="inlineStr">
        <is>
          <t>2026-08-12 ~ 08-19  (7일 / ROLLING)</t>
        </is>
      </c>
      <c r="E11" s="5" t="inlineStr">
        <is>
          <t>레시피 버전</t>
        </is>
      </c>
      <c r="F11" s="6" t="inlineStr">
        <is>
          <t>mock-v3</t>
        </is>
      </c>
    </row>
    <row r="12" ht="15" customHeight="1">
      <c r="A12" s="10" t="inlineStr">
        <is>
          <t>검사 수량</t>
        </is>
      </c>
      <c r="B12" s="10" t="inlineStr">
        <is>
          <t>불량 수량</t>
        </is>
      </c>
      <c r="C12" s="10" t="inlineStr">
        <is>
          <t>기준 불량률</t>
        </is>
      </c>
      <c r="D12" s="10" t="inlineStr">
        <is>
          <t>실제 불량률</t>
        </is>
      </c>
      <c r="E12" s="10" t="inlineStr">
        <is>
          <t>기준 대비</t>
        </is>
      </c>
      <c r="F12" s="10" t="inlineStr">
        <is>
          <t>실제 PPM</t>
        </is>
      </c>
      <c r="G12" s="10" t="inlineStr">
        <is>
          <t>완제품 영향</t>
        </is>
      </c>
    </row>
    <row r="13" ht="21" customHeight="1">
      <c r="A13" s="11" t="n">
        <v>12500</v>
      </c>
      <c r="B13" s="11" t="n">
        <v>16</v>
      </c>
      <c r="C13" s="12" t="n">
        <v>0.0004</v>
      </c>
      <c r="D13" s="13" t="n">
        <v>0.00128</v>
      </c>
      <c r="E13" s="14">
        <f>IFERROR(D13/C13,"")</f>
        <v/>
      </c>
      <c r="F13" s="15">
        <f>IFERROR(D13*1000000,"")</f>
        <v/>
      </c>
      <c r="G13" s="16" t="inlineStr">
        <is>
          <t>2,500대 중 15대 (0.60%)</t>
        </is>
      </c>
    </row>
    <row r="14" ht="19" customHeight="1">
      <c r="A14" s="5" t="inlineStr">
        <is>
          <t>발생 집중</t>
        </is>
      </c>
      <c r="B14" s="6" t="inlineStr">
        <is>
          <t>CAP-02 8건 · CAP-04 5건</t>
        </is>
      </c>
      <c r="E14" s="5" t="inlineStr">
        <is>
          <t>직전 기간 대비</t>
        </is>
      </c>
      <c r="F14" s="17" t="inlineStr">
        <is>
          <t>200 → 1,280 PPM  (6.4배 · 08-18 초과)</t>
        </is>
      </c>
    </row>
    <row r="15" ht="19" customHeight="1">
      <c r="A15" s="18" t="inlineStr">
        <is>
          <t>불량 현상</t>
        </is>
      </c>
      <c r="B15" s="19" t="inlineStr">
        <is>
          <t>CAP 슬롯의 CRACK 불량이 집계기간 누적 16건 / 12,500건(완성품 2,500대 × CAP 5슬롯)으로 기준 400 PPM의 3.2배인 1,280 PPM이다. 완성품 2,500대 중 15대(0.60%)가 영향을 받았고 CAP-02·CAP-04 두 슬롯에 81.3%가 집중되어 있다. 08-16 mock-v3 적용 시점부터 급증했다. 근거 유닛과 검사 이미지 경로는 「근거」 시트에 발행 시점 그대로 고정되어 있다.</t>
        </is>
      </c>
    </row>
    <row r="16" ht="19" customHeight="1"/>
    <row r="17" ht="19" customHeight="1"/>
    <row r="18" ht="17" customHeight="1">
      <c r="A18" s="9" t="inlineStr">
        <is>
          <t>2.  시스템이 먼저 본 것        담당자가 확인할 순서대로 · 근거 시트를 함께 표시</t>
        </is>
      </c>
    </row>
    <row r="19" ht="19" customHeight="1">
      <c r="A19" s="20" t="inlineStr">
        <is>
          <t>자동 분석</t>
        </is>
      </c>
      <c r="B19" s="21" t="inlineStr">
        <is>
          <t>① 발생이 CAP-02·CAP-04에 81.3% 집중(판정 기준 60%) → 부품 Lot보다 공정·설비 원인을 먼저 의심한다.「근거」
② 최초 초과(08-18)가 mock-v3 적용(08-16)과 3일 이내 → 변경 내용 '그리퍼 파지력 상향 · 배치 하강속도 상향'이 1순위 확인 대상.「판단자료」B
③ 동일 부품·유형 CLOSED 대책서 1건(2026-04-12 · 배치 하강속도 과다) → 재발. 당시 대책이 왜 듣지 않았는지 먼저 확인한다.「판단자료」C
④ C-001 대체 후보 2종 모두 표준 단자 — 굽힘 크랙 완충 없음 → 부품 교체는 대책이 되지 않는다. 공정 조건을 본다.「대체품」</t>
        </is>
      </c>
    </row>
    <row r="20" ht="19" customHeight="1"/>
    <row r="21" ht="19" customHeight="1"/>
    <row r="22" ht="19" customHeight="1"/>
    <row r="23" ht="12" customHeight="1">
      <c r="A23" s="22" t="inlineStr">
        <is>
          <t>근거는 별지에 있습니다   ·   「근거」 유닛·슬롯·이미지   |   「판단자료」 추세·레시피·과거 이력·체크리스트   |   「대체품」 후보 비교</t>
        </is>
      </c>
    </row>
    <row r="24" ht="17" customHeight="1">
      <c r="A24" s="9" t="inlineStr">
        <is>
          <t>3.  담당자 작성        아래 크림색 칸만 채우시면 됩니다</t>
        </is>
      </c>
    </row>
    <row r="25" ht="16" customHeight="1">
      <c r="A25" s="2" t="inlineStr">
        <is>
          <r>
            <rPr>
              <rFont val="맑은 고딕"/>
              <b val="1"/>
              <color rgb="00262626"/>
              <sz val="11"/>
            </rPr>
            <t xml:space="preserve">①
</t>
          </r>
          <r>
            <rPr>
              <rFont val="맑은 고딕"/>
              <b val="1"/>
              <color rgb="00262626"/>
              <sz val="8.5"/>
            </rPr>
            <t xml:space="preserve">초동 조치
</t>
          </r>
          <r>
            <rPr>
              <rFont val="맑은 고딕"/>
              <b val="1"/>
              <color rgb="009C2A2A"/>
              <sz val="8"/>
            </rPr>
            <t>오늘 18:00</t>
          </r>
        </is>
      </c>
      <c r="B25" s="23" t="inlineStr">
        <is>
          <t>협조 필요    ☐ 생산 중단    ☐ 출하 보류    ☐ 재고 선별    ☐ 고객 통보    ☐ 설비 정지</t>
        </is>
      </c>
    </row>
    <row r="26" ht="18" customHeight="1">
      <c r="B26" s="24" t="n"/>
    </row>
    <row r="27" ht="18" customHeight="1"/>
    <row r="28" ht="18" customHeight="1"/>
    <row r="29" ht="18" customHeight="1">
      <c r="A29" s="2" t="inlineStr">
        <is>
          <r>
            <rPr>
              <rFont val="맑은 고딕"/>
              <b val="1"/>
              <color rgb="00262626"/>
              <sz val="11"/>
            </rPr>
            <t xml:space="preserve">②
</t>
          </r>
          <r>
            <rPr>
              <rFont val="맑은 고딕"/>
              <b val="1"/>
              <color rgb="00262626"/>
              <sz val="8.5"/>
            </rPr>
            <t xml:space="preserve">발생 원인
</t>
          </r>
          <r>
            <rPr>
              <rFont val="맑은 고딕"/>
              <b val="1"/>
              <color rgb="00808080"/>
              <sz val="8"/>
            </rPr>
            <t>08-22 (3일)</t>
          </r>
        </is>
      </c>
      <c r="B29" s="24" t="n"/>
    </row>
    <row r="30" ht="18" customHeight="1"/>
    <row r="31" ht="18" customHeight="1"/>
    <row r="32" ht="18" customHeight="1">
      <c r="A32" s="2" t="inlineStr">
        <is>
          <r>
            <rPr>
              <rFont val="맑은 고딕"/>
              <b val="1"/>
              <color rgb="00262626"/>
              <sz val="11"/>
            </rPr>
            <t xml:space="preserve">③
</t>
          </r>
          <r>
            <rPr>
              <rFont val="맑은 고딕"/>
              <b val="1"/>
              <color rgb="00262626"/>
              <sz val="8.5"/>
            </rPr>
            <t xml:space="preserve">유출 원인
</t>
          </r>
          <r>
            <rPr>
              <rFont val="맑은 고딕"/>
              <b val="1"/>
              <color rgb="00808080"/>
              <sz val="8"/>
            </rPr>
            <t>08-22 (3일)</t>
          </r>
        </is>
      </c>
      <c r="B32" s="24" t="n"/>
    </row>
    <row r="33" ht="18" customHeight="1"/>
    <row r="34" ht="18" customHeight="1"/>
    <row r="35" ht="18" customHeight="1">
      <c r="A35" s="2" t="inlineStr">
        <is>
          <r>
            <rPr>
              <rFont val="맑은 고딕"/>
              <b val="1"/>
              <color rgb="00262626"/>
              <sz val="11"/>
            </rPr>
            <t xml:space="preserve">④
</t>
          </r>
          <r>
            <rPr>
              <rFont val="맑은 고딕"/>
              <b val="1"/>
              <color rgb="00262626"/>
              <sz val="8.5"/>
            </rPr>
            <t xml:space="preserve">재발방지
대책
</t>
          </r>
          <r>
            <rPr>
              <rFont val="맑은 고딕"/>
              <b val="1"/>
              <color rgb="00808080"/>
              <sz val="8"/>
            </rPr>
            <t>09-05 (2주)</t>
          </r>
        </is>
      </c>
      <c r="B35" s="24" t="n"/>
    </row>
    <row r="36" ht="18" customHeight="1"/>
    <row r="37" ht="18" customHeight="1"/>
    <row r="38" ht="15" customHeight="1">
      <c r="A38" s="2" t="inlineStr">
        <is>
          <r>
            <rPr>
              <rFont val="맑은 고딕"/>
              <b val="1"/>
              <color rgb="00262626"/>
              <sz val="11"/>
            </rPr>
            <t xml:space="preserve">⑤
</t>
          </r>
          <r>
            <rPr>
              <rFont val="맑은 고딕"/>
              <b val="1"/>
              <color rgb="00262626"/>
              <sz val="8.5"/>
            </rPr>
            <t xml:space="preserve">효과 검증
</t>
          </r>
          <r>
            <rPr>
              <rFont val="맑은 고딕"/>
              <b val="1"/>
              <color rgb="00808080"/>
              <sz val="7.5"/>
            </rPr>
            <t>적용 후 2~4주</t>
          </r>
        </is>
      </c>
      <c r="B38" s="10" t="inlineStr">
        <is>
          <t>검증 기간</t>
        </is>
      </c>
      <c r="D38" s="10" t="inlineStr">
        <is>
          <t>적용 레시피</t>
        </is>
      </c>
      <c r="E38" s="10" t="inlineStr">
        <is>
          <t>검증 수량</t>
        </is>
      </c>
      <c r="F38" s="10" t="inlineStr">
        <is>
          <t>불량 수량</t>
        </is>
      </c>
      <c r="G38" s="10" t="inlineStr">
        <is>
          <t>검증 불량률</t>
        </is>
      </c>
      <c r="H38" s="10" t="inlineStr">
        <is>
          <t>판정</t>
        </is>
      </c>
    </row>
    <row r="39" ht="19" customHeight="1">
      <c r="B39" s="25" t="n"/>
      <c r="D39" s="25" t="n"/>
      <c r="E39" s="26" t="n"/>
      <c r="F39" s="26" t="n"/>
      <c r="G39" s="27">
        <f>IFERROR(F39/E39,"")</f>
        <v/>
      </c>
      <c r="H39" s="25" t="inlineStr">
        <is>
          <t>PENDING</t>
        </is>
      </c>
    </row>
    <row r="40" ht="30" customHeight="1">
      <c r="B40" s="24" t="n"/>
    </row>
    <row r="41" ht="19" customHeight="1">
      <c r="A41" s="5" t="inlineStr">
        <is>
          <t>⑥  종결 판정        잔여 위험을 확인하고 닫습니다</t>
        </is>
      </c>
      <c r="E41" s="5" t="inlineStr">
        <is>
          <t>종결일</t>
        </is>
      </c>
      <c r="F41" s="25" t="n"/>
    </row>
    <row r="42" ht="28" customHeight="1">
      <c r="A42" s="5" t="inlineStr">
        <is>
          <t>종결 의견</t>
        </is>
      </c>
      <c r="B42" s="24" t="n"/>
    </row>
    <row r="43" ht="12" customHeight="1">
      <c r="A43" s="28" t="inlineStr">
        <is>
          <t>자동 발행: MAIN_SERVER/scan_quality.py   ·   샘플 (담당자 작성 영역 미작성)   ·   결재 대상은 이 시트 1장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43">
    <mergeCell ref="A9:H9"/>
    <mergeCell ref="B11:D11"/>
    <mergeCell ref="G12:H12"/>
    <mergeCell ref="B14:D14"/>
    <mergeCell ref="F5:H5"/>
    <mergeCell ref="B40:H40"/>
    <mergeCell ref="A24:H24"/>
    <mergeCell ref="F41:H41"/>
    <mergeCell ref="A29:A31"/>
    <mergeCell ref="A32:A34"/>
    <mergeCell ref="A25:A28"/>
    <mergeCell ref="A38:A40"/>
    <mergeCell ref="F2:F3"/>
    <mergeCell ref="B15:H17"/>
    <mergeCell ref="H2:H3"/>
    <mergeCell ref="B39:C39"/>
    <mergeCell ref="A35:A37"/>
    <mergeCell ref="B26:H28"/>
    <mergeCell ref="B35:H37"/>
    <mergeCell ref="A15:A17"/>
    <mergeCell ref="G13:H13"/>
    <mergeCell ref="B25:H25"/>
    <mergeCell ref="B32:H34"/>
    <mergeCell ref="B6:D6"/>
    <mergeCell ref="A18:H18"/>
    <mergeCell ref="B19:H22"/>
    <mergeCell ref="B38:C38"/>
    <mergeCell ref="B5:D5"/>
    <mergeCell ref="A1:D3"/>
    <mergeCell ref="F14:H14"/>
    <mergeCell ref="A41:D41"/>
    <mergeCell ref="B42:H42"/>
    <mergeCell ref="A23:H23"/>
    <mergeCell ref="E1:E3"/>
    <mergeCell ref="B7:D7"/>
    <mergeCell ref="A19:A22"/>
    <mergeCell ref="F11:H11"/>
    <mergeCell ref="F6:H6"/>
    <mergeCell ref="A43:H43"/>
    <mergeCell ref="A10:H10"/>
    <mergeCell ref="B29:H31"/>
    <mergeCell ref="F7:H7"/>
    <mergeCell ref="G2:G3"/>
  </mergeCells>
  <dataValidations count="15">
    <dataValidation sqref="F6" showDropDown="0" showInputMessage="1" showErrorMessage="1" allowBlank="1" errorTitle="허용되지 않는 값" error="다음 중 하나여야 한다: MISSING,POSITION_ERROR,ORIENTATION_ERROR,CRACK" promptTitle="불량 유형" prompt="CRACK 만 「대체품」 시트가 첨부된다.&#10;MISSING · POSITION_ERROR · ORIENTATION_ERROR 는 조립 불량이라 대체품이 대책이 되지 않는다." type="list">
      <formula1>"MISSING,POSITION_ERROR,ORIENTATION_ERROR,CRACK"</formula1>
    </dataValidation>
    <dataValidation sqref="H39" showDropDown="0" showInputMessage="1" showErrorMessage="1" allowBlank="1" errorTitle="허용되지 않는 값" error="다음 중 하나여야 한다: PENDING,EFFECTIVE,INEFFECTIVE" promptTitle="⑤ 판정" prompt="기준 불량률 이하면 EFFECTIVE · 아니면 INEFFECTIVE로 두고 ②로 되돌아간다." type="list">
      <formula1>"PENDING,EFFECTIVE,INEFFECTIVE"</formula1>
    </dataValidation>
    <dataValidation sqref="B25" showDropDown="0" showInputMessage="1" showErrorMessage="0" allowBlank="0" promptTitle="① 협조가 필요한 조치" prompt="담당자 혼자 결정할 수 없는 항목이다. 해당하는 것의 ☐ 를 ☑ 로 바꾸고,&#10;아래 칸에 누구에게 언제 요청했는지 적는다.&#10;&#10;생산 중단 → 생산팀장 · 출하 보류 → 영업/물류 · 재고 선별 → 인력 투입 승인&#10;고객 통보 → 품질보증 책임자 · 설비 정지 → 설비팀&#10;→ containment_summary 첫 줄로 함께 저장된다"/>
    <dataValidation sqref="B26" showDropDown="0" showInputMessage="1" showErrorMessage="0" allowBlank="0" promptTitle="① 초동 조치 — 오늘 안에" prompt="격리·선별·출하보류 범위와 완료 시각을 적는다.&#10;영향 받는 job_id / unit_id 범위를 함께 적는다.&#10;&#10;원인이 안 나와도 오늘 회신한다. 여기는 '막았는지'만 쓰는 칸이다.&#10;원인을 없애는 것은 ④ 이고, 이 칸은 확산을 멈추는 칸이다.&#10;→ alert_countermeasures.containment_summary"/>
    <dataValidation sqref="B29" showDropDown="0" showInputMessage="1" showErrorMessage="0" allowBlank="0" promptTitle="② 발생 원인 — 왜 만들어졌는가" prompt="「판단자료」 A·B로 급증 시점과 레시피 변경 시점을 대조한다.&#10;재현 또는 실물 확인으로 검증한 근거를 적는다.&#10;가설이면 '가설'이라고 표시한다.&#10;→ alert_countermeasures.root_cause_summary"/>
    <dataValidation sqref="B32" showDropDown="0" showInputMessage="1" showErrorMessage="0" allowBlank="0" promptTitle="③ 유출 원인 — 왜 검사에서 걸리지 않았는가" prompt="「판단자료」 D의 검사 항목과 대조해 판정 기준의 한계를 적는다.&#10;검사를 안 한 것인지, 했는데 못 걸른 것인지 구분한다.&#10;→ alert_countermeasures.escape_cause_summary"/>
    <dataValidation sqref="B35" showDropDown="0" showInputMessage="1" showErrorMessage="0" allowBlank="0" promptTitle="④ 재발방지 대책 — 원인을 제거하는 영구대책" prompt="레시피·공정조건을 바꾸면 변경 후 recipe_version을 적는다.&#10;부품을 바꾸면 「대체품」 시트의 대체코드를 적는다.&#10;동일 부품을 쓰는 다른 슬롯으로의 수평전개 여부를 포함한다.&#10;&#10;레시피 변경은 변경관리 승인이, 부품 교체는 고객 승인이 필요할 수 있다.&#10;승인 절차가 걸리면 그 일정도 함께 적는다.&#10;→ alert_countermeasures.applied_recipe_version / applied_at"/>
    <dataValidation sqref="B39" showDropDown="0" showInputMessage="1" showErrorMessage="0" allowBlank="0" promptTitle="⑤ 검증 기간" prompt="대책을 적용하고 다시 집계한 구간. [시작, 끝) 으로 적는다.&#10;검증 물량이 기준 최소 건수를 넘어야 판정할 수 있다."/>
    <dataValidation sqref="D39" showDropDown="0" showInputMessage="1" showErrorMessage="0" allowBlank="0" promptTitle="⑤ 적용 레시피" prompt="대책을 적용한 뒤 실행한 recipe_version.&#10;이 값이 있어야 적용 전후를 같은 제품 안에서 비교할 수 있다.&#10;→ alert_countermeasures.applied_recipe_version"/>
    <dataValidation sqref="E39" showDropDown="0" showInputMessage="1" showErrorMessage="0" allowBlank="0" promptTitle="⑤ 검증 검사 수량" prompt="부품 기준 검사 건수 (유닛 수 × 해당 부품 슬롯 수).&#10;→ alert_countermeasures.verified_inspected_quantity"/>
    <dataValidation sqref="F39" showDropDown="0" showInputMessage="1" showErrorMessage="0" allowBlank="0" promptTitle="⑤ 검증 불량 수량" prompt="→ alert_countermeasures.verified_defective_quantity"/>
    <dataValidation sqref="H39" showDropDown="0" showInputMessage="1" showErrorMessage="0" allowBlank="0" promptTitle="⑤ 판정" prompt="기준 불량률 이하로 내려왔으면 EFFECTIVE.&#10;아니면 INEFFECTIVE로 두고 ②로 되돌아간다.&#10;→ alert_countermeasures.verification_status"/>
    <dataValidation sqref="B40" showDropDown="0" showInputMessage="1" showErrorMessage="0" allowBlank="0" promptTitle="⑤ 판정 근거" prompt="재집계 결과를 그렇게 읽은 이유.&#10;검증 수량이 기준 최소 건수에 못 미치면 그것도 적는다."/>
    <dataValidation sqref="F41" showDropDown="0" showInputMessage="1" showErrorMessage="0" allowBlank="0" promptTitle="⑥ 종결일" prompt="→ alerts.closed_at · alert_status='CLOSED'"/>
    <dataValidation sqref="B42" showDropDown="0" showInputMessage="1" showErrorMessage="0" allowBlank="0" promptTitle="⑥ 종결 의견" prompt="잔여 위험과 종결 승인 의견.&#10;→ alert_countermeasures.closure_note / closed_by"/>
  </dataValidations>
  <pageMargins left="0.35" right="0.35" top="0.45" bottom="0.45" header="0.5" footer="0.5"/>
  <pageSetup orientation="portrait" paperSize="9" fitToHeight="1" fitToWidth="1"/>
  <headerFooter>
    <oddHeader/>
    <oddFooter>&amp;L&amp;9&amp;K808080QA-CAP-CRACK-20260819-001&amp;R&amp;9&amp;K808080&amp;P /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5" customWidth="1" min="3" max="3"/>
    <col width="20" customWidth="1" min="4" max="4"/>
    <col width="40" customWidth="1" min="5" max="5"/>
  </cols>
  <sheetData>
    <row r="1" ht="20" customHeight="1">
      <c r="A1" s="9" t="inlineStr">
        <is>
          <t>발행 시점 고정 근거        [발행 시점 고정]</t>
        </is>
      </c>
    </row>
    <row r="2" ht="15" customHeight="1">
      <c r="A2" s="29" t="inlineStr">
        <is>
          <t>defect_report.alert_evidence 스냅샷 · 문서번호 QA-CAP-CRACK-20260819-001 · 수정 금지</t>
        </is>
      </c>
    </row>
    <row r="3">
      <c r="A3" s="30" t="inlineStr">
        <is>
          <t>슬롯별 발생 분포        어느 슬롯에 몰려 있는지 · 공정 원인 판단의 1차 근거</t>
        </is>
      </c>
    </row>
    <row r="4" ht="24" customHeight="1">
      <c r="A4" s="31" t="inlineStr">
        <is>
          <t>슬롯</t>
        </is>
      </c>
      <c r="B4" s="31" t="inlineStr">
        <is>
          <t>불량 건수</t>
        </is>
      </c>
      <c r="C4" s="31" t="inlineStr">
        <is>
          <t>슬롯 불량률</t>
        </is>
      </c>
      <c r="D4" s="31" t="inlineStr">
        <is>
          <t>비고</t>
        </is>
      </c>
      <c r="E4" s="32" t="n"/>
    </row>
    <row r="5" ht="16" customHeight="1">
      <c r="A5" s="4" t="inlineStr">
        <is>
          <t>CAP-02</t>
        </is>
      </c>
      <c r="B5" s="33" t="n">
        <v>8</v>
      </c>
      <c r="C5" s="27" t="n">
        <v>0.0032</v>
      </c>
      <c r="D5" s="34" t="inlineStr">
        <is>
          <t>상위 2슬롯 81.3% · 공정/설비 우선 의심</t>
        </is>
      </c>
    </row>
    <row r="6" ht="16" customHeight="1">
      <c r="A6" s="4" t="inlineStr">
        <is>
          <t>CAP-04</t>
        </is>
      </c>
      <c r="B6" s="33" t="n">
        <v>5</v>
      </c>
      <c r="C6" s="27" t="n">
        <v>0.002</v>
      </c>
      <c r="D6" s="34" t="n"/>
    </row>
    <row r="7" ht="16" customHeight="1">
      <c r="A7" s="4" t="inlineStr">
        <is>
          <t>CAP-01</t>
        </is>
      </c>
      <c r="B7" s="33" t="n">
        <v>2</v>
      </c>
      <c r="C7" s="27" t="n">
        <v>0.0008</v>
      </c>
      <c r="D7" s="34" t="n"/>
    </row>
    <row r="8" ht="16" customHeight="1">
      <c r="A8" s="4" t="inlineStr">
        <is>
          <t>CAP-05</t>
        </is>
      </c>
      <c r="B8" s="33" t="n">
        <v>1</v>
      </c>
      <c r="C8" s="27" t="n">
        <v>0.0004</v>
      </c>
      <c r="D8" s="34" t="n"/>
    </row>
    <row r="10">
      <c r="A10" s="30" t="inlineStr">
        <is>
          <t>불량 유닛 목록</t>
        </is>
      </c>
    </row>
    <row r="11" ht="24" customHeight="1">
      <c r="A11" s="31" t="inlineStr">
        <is>
          <t>unit_id</t>
        </is>
      </c>
      <c r="B11" s="31" t="inlineStr">
        <is>
          <t>슬롯</t>
        </is>
      </c>
      <c r="C11" s="31" t="inlineStr">
        <is>
          <t>불량 유형</t>
        </is>
      </c>
      <c r="D11" s="31" t="inlineStr">
        <is>
          <t>검사 시각</t>
        </is>
      </c>
      <c r="E11" s="31" t="inlineStr">
        <is>
          <t>검사 이미지 경로</t>
        </is>
      </c>
    </row>
    <row r="12" ht="16" customHeight="1">
      <c r="A12" s="4" t="n">
        <v>10412</v>
      </c>
      <c r="B12" s="4" t="inlineStr">
        <is>
          <t>CAP-02</t>
        </is>
      </c>
      <c r="C12" s="4" t="inlineStr">
        <is>
          <t>CRACK</t>
        </is>
      </c>
      <c r="D12" s="4" t="inlineStr">
        <is>
          <t>2026-08-18 16:30:12</t>
        </is>
      </c>
      <c r="E12" s="34" t="inlineStr">
        <is>
          <t>/var/lib/inspect/2026-08-18/u10412.png</t>
        </is>
      </c>
    </row>
    <row r="13" ht="16" customHeight="1">
      <c r="A13" s="4" t="n">
        <v>10418</v>
      </c>
      <c r="B13" s="4" t="inlineStr">
        <is>
          <t>CAP-04</t>
        </is>
      </c>
      <c r="C13" s="4" t="inlineStr">
        <is>
          <t>CRACK</t>
        </is>
      </c>
      <c r="D13" s="4" t="inlineStr">
        <is>
          <t>2026-08-18 16:41:55</t>
        </is>
      </c>
      <c r="E13" s="34" t="inlineStr">
        <is>
          <t>/var/lib/inspect/2026-08-18/u10418.png</t>
        </is>
      </c>
    </row>
    <row r="14" ht="16" customHeight="1">
      <c r="A14" s="4" t="n">
        <v>10425</v>
      </c>
      <c r="B14" s="4" t="inlineStr">
        <is>
          <t>CAP-02</t>
        </is>
      </c>
      <c r="C14" s="4" t="inlineStr">
        <is>
          <t>CRACK</t>
        </is>
      </c>
      <c r="D14" s="4" t="inlineStr">
        <is>
          <t>2026-08-18 17:02:30</t>
        </is>
      </c>
      <c r="E14" s="34" t="inlineStr">
        <is>
          <t>/var/lib/inspect/2026-08-18/u10425.png</t>
        </is>
      </c>
    </row>
    <row r="15" ht="16" customHeight="1">
      <c r="A15" s="4" t="n">
        <v>10431</v>
      </c>
      <c r="B15" s="4" t="inlineStr">
        <is>
          <t>CAP-02</t>
        </is>
      </c>
      <c r="C15" s="4" t="inlineStr">
        <is>
          <t>CRACK</t>
        </is>
      </c>
      <c r="D15" s="4" t="inlineStr">
        <is>
          <t>2026-08-18 17:19:08</t>
        </is>
      </c>
      <c r="E15" s="34" t="inlineStr">
        <is>
          <t>/var/lib/inspect/2026-08-18/u10431.png</t>
        </is>
      </c>
    </row>
    <row r="16" ht="16" customHeight="1">
      <c r="A16" s="4" t="n">
        <v>10447</v>
      </c>
      <c r="B16" s="4" t="inlineStr">
        <is>
          <t>CAP-04</t>
        </is>
      </c>
      <c r="C16" s="4" t="inlineStr">
        <is>
          <t>CRACK</t>
        </is>
      </c>
      <c r="D16" s="4" t="inlineStr">
        <is>
          <t>2026-08-18 18:03:41</t>
        </is>
      </c>
      <c r="E16" s="34" t="inlineStr">
        <is>
          <t>/var/lib/inspect/2026-08-18/u10447.png</t>
        </is>
      </c>
    </row>
    <row r="17" ht="16" customHeight="1">
      <c r="A17" s="4" t="inlineStr">
        <is>
          <t>…</t>
        </is>
      </c>
      <c r="B17" s="4" t="inlineStr">
        <is>
          <t>…</t>
        </is>
      </c>
      <c r="C17" s="4" t="inlineStr">
        <is>
          <t>…</t>
        </is>
      </c>
      <c r="D17" s="4" t="inlineStr">
        <is>
          <t>…</t>
        </is>
      </c>
      <c r="E17" s="34" t="inlineStr">
        <is>
          <t>총 16행 · 발행 시점 스냅샷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9">
    <mergeCell ref="D8:E8"/>
    <mergeCell ref="D6:E6"/>
    <mergeCell ref="D7:E7"/>
    <mergeCell ref="A2:E2"/>
    <mergeCell ref="A10:E10"/>
    <mergeCell ref="D5:E5"/>
    <mergeCell ref="A1:E1"/>
    <mergeCell ref="D4:E4"/>
    <mergeCell ref="A3:E3"/>
  </mergeCells>
  <pageMargins left="0.35" right="0.35" top="0.45" bottom="0.45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30" customWidth="1" min="7" max="7"/>
    <col width="30" customWidth="1" min="8" max="8"/>
  </cols>
  <sheetData>
    <row r="1" ht="20" customHeight="1">
      <c r="A1" s="9" t="inlineStr">
        <is>
          <t>판단 자료</t>
        </is>
      </c>
    </row>
    <row r="2">
      <c r="A2" s="29" t="inlineStr">
        <is>
          <t>담당자가 ②발생 원인 · ③유출 원인을 좁히는 데 쓰는 참고 자료 · 자동 조회 · 결재 대상 아님</t>
        </is>
      </c>
    </row>
    <row r="3" ht="20" customHeight="1">
      <c r="A3" s="35" t="inlineStr">
        <is>
          <t>판단 순서    ①「근거」어느 슬롯에 몰렸나  →  ② A 언제부터 올랐나  →  ③ B 그때 무엇이 바뀌었나  →  ④ C 전에도 있었나  →  ⑤ D 무엇을 확인하나</t>
        </is>
      </c>
    </row>
    <row r="5" ht="17" customHeight="1">
      <c r="A5" s="30" t="inlineStr">
        <is>
          <t>A.  주차별 추세        [발행 시점 고정]</t>
        </is>
      </c>
    </row>
    <row r="6" ht="14" customHeight="1">
      <c r="A6" s="29" t="inlineStr">
        <is>
          <t>언제부터 올라갔는지 · 급변 시점과 아래 B의 레시피 변경 시점을 대조한다. 주차 경계와 대책서 집계 구간은 일치하지 않는다.</t>
        </is>
      </c>
    </row>
    <row r="7" ht="24" customHeight="1">
      <c r="A7" s="31" t="inlineStr">
        <is>
          <t>주차</t>
        </is>
      </c>
      <c r="B7" s="31" t="inlineStr">
        <is>
          <t>검사 수량</t>
        </is>
      </c>
      <c r="C7" s="31" t="inlineStr">
        <is>
          <t>불량 수량</t>
        </is>
      </c>
      <c r="D7" s="31" t="inlineStr">
        <is>
          <t>불량률</t>
        </is>
      </c>
      <c r="E7" s="31" t="inlineStr">
        <is>
          <t>기준 대비</t>
        </is>
      </c>
      <c r="F7" s="31" t="inlineStr">
        <is>
          <t>레시피</t>
        </is>
      </c>
      <c r="G7" s="31" t="inlineStr">
        <is>
          <t>비고</t>
        </is>
      </c>
      <c r="H7" s="32" t="n"/>
    </row>
    <row r="8" ht="16" customHeight="1">
      <c r="A8" s="4" t="inlineStr">
        <is>
          <t>2026-W29</t>
        </is>
      </c>
      <c r="B8" s="33" t="n">
        <v>12400</v>
      </c>
      <c r="C8" s="33" t="n">
        <v>2</v>
      </c>
      <c r="D8" s="27" t="n">
        <v>0.0001612903225806452</v>
      </c>
      <c r="E8" s="36" t="n">
        <v>0.4032258064516129</v>
      </c>
      <c r="F8" s="4" t="inlineStr">
        <is>
          <t>mock-v1</t>
        </is>
      </c>
      <c r="G8" s="34" t="n"/>
    </row>
    <row r="9" ht="16" customHeight="1">
      <c r="A9" s="4" t="inlineStr">
        <is>
          <t>2026-W30</t>
        </is>
      </c>
      <c r="B9" s="33" t="n">
        <v>12550</v>
      </c>
      <c r="C9" s="33" t="n">
        <v>3</v>
      </c>
      <c r="D9" s="27" t="n">
        <v>0.0002390438247011952</v>
      </c>
      <c r="E9" s="36" t="n">
        <v>0.5976095617529881</v>
      </c>
      <c r="F9" s="4" t="inlineStr">
        <is>
          <t>mock-v1</t>
        </is>
      </c>
      <c r="G9" s="34" t="n"/>
    </row>
    <row r="10" ht="16" customHeight="1">
      <c r="A10" s="4" t="inlineStr">
        <is>
          <t>2026-W31</t>
        </is>
      </c>
      <c r="B10" s="33" t="n">
        <v>12480</v>
      </c>
      <c r="C10" s="33" t="n">
        <v>2</v>
      </c>
      <c r="D10" s="27" t="n">
        <v>0.0001602564102564103</v>
      </c>
      <c r="E10" s="36" t="n">
        <v>0.4006410256410256</v>
      </c>
      <c r="F10" s="4" t="inlineStr">
        <is>
          <t>mock-v2</t>
        </is>
      </c>
      <c r="G10" s="34" t="inlineStr">
        <is>
          <t>08-05 mock-v2 적용</t>
        </is>
      </c>
    </row>
    <row r="11" ht="16" customHeight="1">
      <c r="A11" s="4" t="inlineStr">
        <is>
          <t>2026-W32</t>
        </is>
      </c>
      <c r="B11" s="33" t="n">
        <v>12575</v>
      </c>
      <c r="C11" s="33" t="n">
        <v>3</v>
      </c>
      <c r="D11" s="27" t="n">
        <v>0.0002385685884691849</v>
      </c>
      <c r="E11" s="36" t="n">
        <v>0.5964214711729622</v>
      </c>
      <c r="F11" s="4" t="inlineStr">
        <is>
          <t>mock-v2</t>
        </is>
      </c>
      <c r="G11" s="34" t="n"/>
    </row>
    <row r="12" ht="16" customHeight="1">
      <c r="A12" s="4" t="inlineStr">
        <is>
          <t>2026-W33</t>
        </is>
      </c>
      <c r="B12" s="33" t="n">
        <v>12650</v>
      </c>
      <c r="C12" s="33" t="n">
        <v>8</v>
      </c>
      <c r="D12" s="27" t="n">
        <v>0.0006324110671936759</v>
      </c>
      <c r="E12" s="36" t="n">
        <v>1.58102766798419</v>
      </c>
      <c r="F12" s="4" t="inlineStr">
        <is>
          <t>mock-v3</t>
        </is>
      </c>
      <c r="G12" s="34" t="inlineStr">
        <is>
          <t>08-16 mock-v3 적용 · 급증 시점</t>
        </is>
      </c>
    </row>
    <row r="13" ht="16" customHeight="1">
      <c r="A13" s="4" t="inlineStr">
        <is>
          <t>2026-W34</t>
        </is>
      </c>
      <c r="B13" s="33" t="n">
        <v>5420</v>
      </c>
      <c r="C13" s="33" t="n">
        <v>8</v>
      </c>
      <c r="D13" s="27" t="n">
        <v>0.001476014760147601</v>
      </c>
      <c r="E13" s="36" t="n">
        <v>3.690036900369003</v>
      </c>
      <c r="F13" s="4" t="inlineStr">
        <is>
          <t>mock-v3</t>
        </is>
      </c>
      <c r="G13" s="34" t="inlineStr">
        <is>
          <t>진행 중 · 08-19 09:00 기준</t>
        </is>
      </c>
    </row>
    <row r="15" ht="17" customHeight="1">
      <c r="A15" s="30" t="inlineStr">
        <is>
          <t>B.  레시피 변경 전후 불량률        [발행 시점 고정]</t>
        </is>
      </c>
    </row>
    <row r="16" ht="14" customHeight="1">
      <c r="A16" s="29" t="inlineStr">
        <is>
          <t>datastation_part_rates · 공정 조건이 원인인지 부품이 원인인지 가르는 1차 근거</t>
        </is>
      </c>
    </row>
    <row r="17" ht="24" customHeight="1">
      <c r="A17" s="31" t="inlineStr">
        <is>
          <t>레시피</t>
        </is>
      </c>
      <c r="B17" s="31" t="inlineStr">
        <is>
          <t>적용 기간</t>
        </is>
      </c>
      <c r="C17" s="31" t="inlineStr">
        <is>
          <t>검사 수량</t>
        </is>
      </c>
      <c r="D17" s="31" t="inlineStr">
        <is>
          <t>불량 수량</t>
        </is>
      </c>
      <c r="E17" s="31" t="inlineStr">
        <is>
          <t>불량률</t>
        </is>
      </c>
      <c r="F17" s="31" t="inlineStr">
        <is>
          <t>기준 대비</t>
        </is>
      </c>
      <c r="G17" s="31" t="inlineStr">
        <is>
          <t>변경 내용</t>
        </is>
      </c>
      <c r="H17" s="32" t="n"/>
    </row>
    <row r="18" ht="26" customHeight="1">
      <c r="A18" s="4" t="inlineStr">
        <is>
          <t>mock-v1</t>
        </is>
      </c>
      <c r="B18" s="4" t="inlineStr">
        <is>
          <t>~ 2026-08-05</t>
        </is>
      </c>
      <c r="C18" s="33" t="n">
        <v>124000</v>
      </c>
      <c r="D18" s="33" t="n">
        <v>20</v>
      </c>
      <c r="E18" s="27" t="n">
        <v>0.0001612903225806452</v>
      </c>
      <c r="F18" s="36" t="n">
        <v>0.4032258064516129</v>
      </c>
      <c r="G18" s="37" t="inlineStr">
        <is>
          <t>기준 레시피</t>
        </is>
      </c>
    </row>
    <row r="19" ht="26" customHeight="1">
      <c r="A19" s="4" t="inlineStr">
        <is>
          <t>mock-v2</t>
        </is>
      </c>
      <c r="B19" s="4" t="inlineStr">
        <is>
          <t>08-05 ~ 08-16</t>
        </is>
      </c>
      <c r="C19" s="33" t="n">
        <v>99500</v>
      </c>
      <c r="D19" s="33" t="n">
        <v>24</v>
      </c>
      <c r="E19" s="27" t="n">
        <v>0.0002412060301507538</v>
      </c>
      <c r="F19" s="36" t="n">
        <v>0.6030150753768844</v>
      </c>
      <c r="G19" s="37" t="inlineStr">
        <is>
          <t>픽업 속도 조정</t>
        </is>
      </c>
    </row>
    <row r="20" ht="26" customHeight="1">
      <c r="A20" s="4" t="inlineStr">
        <is>
          <t>mock-v3</t>
        </is>
      </c>
      <c r="B20" s="4" t="inlineStr">
        <is>
          <t>08-16 ~ 현재</t>
        </is>
      </c>
      <c r="C20" s="33" t="n">
        <v>30600</v>
      </c>
      <c r="D20" s="33" t="n">
        <v>33</v>
      </c>
      <c r="E20" s="27" t="n">
        <v>0.00107843137254902</v>
      </c>
      <c r="F20" s="36" t="n">
        <v>2.696078431372549</v>
      </c>
      <c r="G20" s="37" t="inlineStr">
        <is>
          <t>그리퍼 파지력 상향 · 배치 하강속도 상향 — 변경 직후 CRACK 급증</t>
        </is>
      </c>
    </row>
    <row r="22" ht="17" customHeight="1">
      <c r="A22" s="30" t="inlineStr">
        <is>
          <t>C.  동일 부품 · 동일 유형 과거 대책서        [발행 시점 고정]</t>
        </is>
      </c>
    </row>
    <row r="23" ht="14" customHeight="1">
      <c r="A23" s="29" t="inlineStr">
        <is>
          <t>datastation_alerts · 재발이면 이전 대책이 왜 듣지 않았는지부터 확인한다</t>
        </is>
      </c>
    </row>
    <row r="24" ht="24" customHeight="1">
      <c r="A24" s="31" t="inlineStr">
        <is>
          <t>문서번호</t>
        </is>
      </c>
      <c r="B24" s="31" t="inlineStr">
        <is>
          <t>집계 기간</t>
        </is>
      </c>
      <c r="C24" s="31" t="inlineStr">
        <is>
          <t>불량률</t>
        </is>
      </c>
      <c r="D24" s="31" t="inlineStr">
        <is>
          <t>상태</t>
        </is>
      </c>
      <c r="E24" s="31" t="inlineStr">
        <is>
          <t>적용 대책</t>
        </is>
      </c>
      <c r="F24" s="32" t="n"/>
      <c r="G24" s="31" t="inlineStr">
        <is>
          <t>당시 근본 원인</t>
        </is>
      </c>
      <c r="H24" s="32" t="n"/>
    </row>
    <row r="25" ht="32" customHeight="1">
      <c r="A25" s="38" t="inlineStr">
        <is>
          <t>QA-CAP-CRACK-20260412-001</t>
        </is>
      </c>
      <c r="B25" s="38" t="inlineStr">
        <is>
          <t>2026-04-05 ~ 04-12</t>
        </is>
      </c>
      <c r="C25" s="39" t="n">
        <v>0.0009</v>
      </c>
      <c r="D25" s="38" t="inlineStr">
        <is>
          <t>CLOSED</t>
        </is>
      </c>
      <c r="E25" s="40" t="inlineStr">
        <is>
          <t>mock-v1 / 04-15</t>
        </is>
      </c>
      <c r="G25" s="37" t="inlineStr">
        <is>
          <t>배치 하강속도 과다로 착지 충격. 속도 하향 후 160 PPM으로 회복.</t>
        </is>
      </c>
    </row>
    <row r="27" ht="17" customHeight="1">
      <c r="A27" s="30" t="inlineStr">
        <is>
          <t>D.  품질 체크리스트        [조회 시점 참조 · 데이터시트 갱신 시 바뀜]</t>
        </is>
      </c>
    </row>
    <row r="28" ht="14" customHeight="1">
      <c r="A28" s="29" t="inlineStr">
        <is>
          <t>datastation_part_checklist · part_catalog.quality_checklists.category = part_groups.category_label · 이 범주에서 무엇을 확인해야 하는지</t>
        </is>
      </c>
    </row>
    <row r="29" ht="24" customHeight="1">
      <c r="A29" s="31" t="inlineStr">
        <is>
          <t>구분</t>
        </is>
      </c>
      <c r="B29" s="31" t="inlineStr">
        <is>
          <t>확인 항목</t>
        </is>
      </c>
      <c r="C29" s="41" t="n"/>
      <c r="D29" s="32" t="n"/>
      <c r="E29" s="31" t="inlineStr">
        <is>
          <t>이상 시 조치</t>
        </is>
      </c>
      <c r="F29" s="41" t="n"/>
      <c r="G29" s="41" t="n"/>
      <c r="H29" s="32" t="n"/>
    </row>
    <row r="30" ht="40" customHeight="1">
      <c r="A30" s="42" t="inlineStr">
        <is>
          <t>입고 검사</t>
        </is>
      </c>
      <c r="B30" s="37" t="inlineStr">
        <is>
          <t>외관/단자, 0603·100V·X7R 확인, LCR·절연저항 샘플</t>
        </is>
      </c>
      <c r="E30" s="37" t="inlineStr">
        <is>
          <t>크랙/IR 저하는 Lot·패널 위치별 격리, 보드 굴곡·분리·프로브 지지 조건을 재현하고 공정 조건 수정</t>
        </is>
      </c>
    </row>
    <row r="31" ht="40" customHeight="1">
      <c r="A31" s="42" t="inlineStr">
        <is>
          <t>조립·보관</t>
        </is>
      </c>
      <c r="B31" s="37" t="inlineStr">
        <is>
          <t>land/reflow 준수; panel depanel·ICT probe·connector 체결 시 board support로 보드 굽힘 억제</t>
        </is>
      </c>
    </row>
    <row r="32" ht="40" customHeight="1">
      <c r="A32" s="42" t="inlineStr">
        <is>
          <t>기능·신뢰성</t>
        </is>
      </c>
      <c r="B32" s="37" t="inlineStr">
        <is>
          <t>AOI, LCR/IR; crack 의심 Lot 단면 또는 비파괴 검사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32">
    <mergeCell ref="G12:H12"/>
    <mergeCell ref="A15:H15"/>
    <mergeCell ref="E30:H32"/>
    <mergeCell ref="E24:F24"/>
    <mergeCell ref="G11:H11"/>
    <mergeCell ref="A1:H1"/>
    <mergeCell ref="G8:H8"/>
    <mergeCell ref="B29:D29"/>
    <mergeCell ref="G17:H17"/>
    <mergeCell ref="A6:H6"/>
    <mergeCell ref="G7:H7"/>
    <mergeCell ref="G10:H10"/>
    <mergeCell ref="A16:H16"/>
    <mergeCell ref="G19:H19"/>
    <mergeCell ref="B30:D30"/>
    <mergeCell ref="G13:H13"/>
    <mergeCell ref="G18:H18"/>
    <mergeCell ref="A27:H27"/>
    <mergeCell ref="A3:H3"/>
    <mergeCell ref="G24:H24"/>
    <mergeCell ref="A2:H2"/>
    <mergeCell ref="B32:D32"/>
    <mergeCell ref="E29:H29"/>
    <mergeCell ref="A5:H5"/>
    <mergeCell ref="A23:H23"/>
    <mergeCell ref="A22:H22"/>
    <mergeCell ref="G20:H20"/>
    <mergeCell ref="B31:D31"/>
    <mergeCell ref="E25:F25"/>
    <mergeCell ref="G25:H25"/>
    <mergeCell ref="A28:H28"/>
    <mergeCell ref="G9:H9"/>
  </mergeCells>
  <pageMargins left="0.35" right="0.35" top="0.45" bottom="0.4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22" customWidth="1" min="3" max="3"/>
    <col width="26" customWidth="1" min="4" max="4"/>
    <col width="14" customWidth="1" min="5" max="5"/>
    <col width="22" customWidth="1" min="6" max="6"/>
    <col width="29" customWidth="1" min="7" max="7"/>
    <col width="13" customWidth="1" min="8" max="8"/>
  </cols>
  <sheetData>
    <row r="1" ht="20" customHeight="1">
      <c r="A1" s="9" t="inlineStr">
        <is>
          <t>대체품 후보        [조회 시점 참조]</t>
        </is>
      </c>
    </row>
    <row r="2">
      <c r="A2" s="29" t="inlineStr">
        <is>
          <t>불량유형이 CRACK일 때만 첨부된다 · MISSING · POSITION_ERROR · ORIENTATION_ERROR는 조립 불량이므로 대체품이 대책이 되지 않는다</t>
        </is>
      </c>
    </row>
    <row r="3" ht="22" customHeight="1">
      <c r="A3" s="43" t="inlineStr">
        <is>
          <t>동일 정격만으로 drop-in 판단 금지 · 「필수 재검증」을 모두 통과하고 변경 승인이 완료된 뒤에만 적용한다.</t>
        </is>
      </c>
    </row>
    <row r="4" ht="15" customHeight="1">
      <c r="A4" s="44" t="inlineStr">
        <is>
          <t>조회 시각 2026-08-19 09:00:00   ·   데이터시트 semiconductor_assembly_quality_datasheet_2026-08-18.xlsx (기준일 2026-08-18)   ·   Group ID C-001 (MLCC)   ·   후보 2종</t>
        </is>
      </c>
    </row>
    <row r="6" ht="26" customHeight="1">
      <c r="A6" s="31" t="inlineStr">
        <is>
          <t>역할</t>
        </is>
      </c>
      <c r="B6" s="31" t="inlineStr">
        <is>
          <t>대체코드</t>
        </is>
      </c>
      <c r="C6" s="31" t="inlineStr">
        <is>
          <t>제조사 / P/N</t>
        </is>
      </c>
      <c r="D6" s="31" t="inlineStr">
        <is>
          <t>핵심 사양·용도</t>
        </is>
      </c>
      <c r="E6" s="31" t="inlineStr">
        <is>
          <t>상호호환 상태</t>
        </is>
      </c>
      <c r="F6" s="31" t="inlineStr">
        <is>
          <t>필수 재검증</t>
        </is>
      </c>
      <c r="G6" s="31" t="inlineStr">
        <is>
          <t>CRACK 관련 소견</t>
        </is>
      </c>
      <c r="H6" s="31" t="inlineStr">
        <is>
          <t>Source · 확인일</t>
        </is>
      </c>
    </row>
    <row r="7" ht="40" customHeight="1">
      <c r="A7" s="45" t="inlineStr">
        <is>
          <t>주품목</t>
        </is>
      </c>
      <c r="B7" s="45" t="inlineStr">
        <is>
          <t>—</t>
        </is>
      </c>
      <c r="C7" s="45" t="inlineStr">
        <is>
          <t>Murata Manufacturing / GRM188R72A104KA35D</t>
        </is>
      </c>
      <c r="D7" s="45" t="inlineStr">
        <is>
          <t>MLCC / 0.10µF ±10%, 100V, X7R, 0603</t>
        </is>
      </c>
      <c r="E7" s="45" t="inlineStr">
        <is>
          <t>승인 주품목</t>
        </is>
      </c>
      <c r="F7" s="45" t="inlineStr">
        <is>
          <t>해당 없음</t>
        </is>
      </c>
      <c r="G7" s="45" t="inlineStr">
        <is>
          <t>표준 단자 · 현재 CRACK 발생 중. 연성 단자(soft termination) 사양 아님</t>
        </is>
      </c>
      <c r="H7" s="45" t="inlineStr">
        <is>
          <t>S-01 · 2026-08-18</t>
        </is>
      </c>
    </row>
    <row r="8" ht="40" customHeight="1">
      <c r="A8" s="37" t="inlineStr">
        <is>
          <t>대체 후보</t>
        </is>
      </c>
      <c r="B8" s="37" t="inlineStr">
        <is>
          <t>ALT-01</t>
        </is>
      </c>
      <c r="C8" s="37" t="inlineStr">
        <is>
          <t>KEMET / C0603C104K1RACTU</t>
        </is>
      </c>
      <c r="D8" s="37" t="inlineStr">
        <is>
          <t>MLCC / 0.10µF ±10%, 100V, X7R, 0603</t>
        </is>
      </c>
      <c r="E8" s="37" t="inlineStr">
        <is>
          <t>동급 후보 · 승인 전 사용 금지</t>
        </is>
      </c>
      <c r="F8" s="37" t="inlineStr">
        <is>
          <t>두께·단자·DC-bias·IR·land/reflow</t>
        </is>
      </c>
      <c r="G8" s="37" t="inlineStr">
        <is>
          <t>표준 단자 — 굽힘 크랙 완충 없음. 대체해도 개선 근거 없음</t>
        </is>
      </c>
      <c r="H8" s="37" t="inlineStr">
        <is>
          <t>S-02 · 2026-08-18</t>
        </is>
      </c>
    </row>
    <row r="9" ht="40" customHeight="1">
      <c r="A9" s="37" t="inlineStr">
        <is>
          <t>대체 후보</t>
        </is>
      </c>
      <c r="B9" s="37" t="inlineStr">
        <is>
          <t>ALT-02</t>
        </is>
      </c>
      <c r="C9" s="37" t="inlineStr">
        <is>
          <t>YAGEO / CC0603KRX7R0BB104</t>
        </is>
      </c>
      <c r="D9" s="37" t="inlineStr">
        <is>
          <t>MLCC / 0.10µF, 100V, X7R, 0603 후보</t>
        </is>
      </c>
      <c r="E9" s="37" t="inlineStr">
        <is>
          <t>동급 후보 · 승인 전 사용 금지</t>
        </is>
      </c>
      <c r="F9" s="37" t="inlineStr">
        <is>
          <t>두께·단자·DC-bias·IR·land/reflow</t>
        </is>
      </c>
      <c r="G9" s="37" t="inlineStr">
        <is>
          <t>표준 단자 — 굽힘 크랙 완충 없음. 대체해도 개선 근거 없음</t>
        </is>
      </c>
      <c r="H9" s="37" t="inlineStr">
        <is>
          <t>S-03 · 2026-08-18</t>
        </is>
      </c>
    </row>
    <row r="11">
      <c r="A11" s="46" t="inlineStr">
        <is>
          <t>단가·MOQ·재고·리드타임·공급사는 이 문서에 싣지 않는다. 조회 시점에 이미 상하는 값이고 품질 담당자의 결정 변수가 아니다 → GET /parts/{part_id} 또는 구매 담당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5">
    <mergeCell ref="A4:H4"/>
    <mergeCell ref="A3:H3"/>
    <mergeCell ref="A2:H2"/>
    <mergeCell ref="A11:H11"/>
    <mergeCell ref="A1:H1"/>
  </mergeCells>
  <pageMargins left="0.35" right="0.35" top="0.45" bottom="0.45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MAIN_SERVER/scan_quality.py</dc:creator>
  <dc:title>불량대책서</dc:title>
  <dcterms:created xsi:type="dcterms:W3CDTF">2026-08-19T09:00:00Z</dcterms:created>
  <dcterms:modified xsi:type="dcterms:W3CDTF">2026-08-28T04:09:24Z</dcterms:modified>
</cp:coreProperties>
</file>