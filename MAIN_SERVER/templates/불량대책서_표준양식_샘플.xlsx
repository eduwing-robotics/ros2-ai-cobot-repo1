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근거" sheetId="2" state="visible" r:id="rId2"/>
    <sheet name="판단자료" sheetId="3" state="visible" r:id="rId3"/>
    <sheet name="대체품" sheetId="4" state="visible" r:id="rId4"/>
  </sheets>
  <definedNames>
    <definedName name="_xlnm.Print_Area" localSheetId="0">'대책서'!$A$1:$H$39</definedName>
    <definedName name="_xlnm._FilterDatabase" localSheetId="3" hidden="1">'대체품'!$A$6:$H$11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&quot;%p&quot;;-0.00&quot;%p&quot;"/>
  </numFmts>
  <fonts count="20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b val="1"/>
      <sz val="9"/>
    </font>
    <font>
      <name val="맑은 고딕"/>
      <b val="1"/>
      <sz val="8"/>
    </font>
    <font>
      <name val="맑은 고딕"/>
      <color rgb="00000000"/>
      <sz val="9"/>
    </font>
    <font>
      <name val="맑은 고딕"/>
      <b val="1"/>
      <color rgb="00000000"/>
      <sz val="9"/>
    </font>
    <font>
      <name val="맑은 고딕"/>
      <b val="1"/>
      <color rgb="00FFFFFF"/>
      <sz val="9"/>
    </font>
    <font>
      <name val="맑은 고딕"/>
      <color rgb="00000000"/>
      <sz val="8"/>
    </font>
    <font>
      <name val="맑은 고딕"/>
      <b val="1"/>
      <color rgb="00C00000"/>
      <sz val="9"/>
    </font>
    <font>
      <name val="맑은 고딕"/>
      <b val="1"/>
      <color rgb="001F3864"/>
      <sz val="8"/>
    </font>
    <font>
      <name val="맑은 고딕"/>
      <color rgb="00808080"/>
      <sz val="7"/>
    </font>
    <font>
      <name val="맑은 고딕"/>
      <b val="1"/>
      <sz val="10"/>
    </font>
    <font>
      <name val="맑은 고딕"/>
      <color rgb="00808080"/>
      <sz val="8"/>
    </font>
    <font>
      <name val="맑은 고딕"/>
      <sz val="8"/>
    </font>
    <font>
      <name val="맑은 고딕"/>
      <color rgb="00808080"/>
      <sz val="7.5"/>
    </font>
    <font>
      <name val="맑은 고딕"/>
      <b val="1"/>
      <color rgb="009C2A2A"/>
      <sz val="8"/>
    </font>
    <font>
      <name val="맑은 고딕"/>
      <color rgb="00595959"/>
      <sz val="7.5"/>
    </font>
    <font>
      <name val="맑은 고딕"/>
      <b val="1"/>
      <color rgb="00000000"/>
      <sz val="8"/>
    </font>
    <font>
      <name val="맑은 고딕"/>
      <color rgb="009C2A2A"/>
      <sz val="8"/>
    </font>
    <font>
      <name val="맑은 고딕"/>
      <color rgb="001F6B3B"/>
      <sz val="8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CE3EF"/>
      </patternFill>
    </fill>
    <fill>
      <patternFill patternType="solid">
        <fgColor rgb="00FFF7E0"/>
      </patternFill>
    </fill>
  </fills>
  <borders count="10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595959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medium">
        <color rgb="00595959"/>
      </right>
      <top style="thin">
        <color rgb="00A6A6A6"/>
      </top>
      <bottom style="thin">
        <color rgb="00A6A6A6"/>
      </bottom>
    </border>
    <border>
      <left style="medium">
        <color rgb="00595959"/>
      </left>
      <right style="thin">
        <color rgb="00A6A6A6"/>
      </right>
      <top style="medium">
        <color rgb="00595959"/>
      </top>
      <bottom style="thin">
        <color rgb="00A6A6A6"/>
      </bottom>
    </border>
    <border>
      <left style="medium">
        <color rgb="00595959"/>
      </left>
      <right style="thin">
        <color rgb="00A6A6A6"/>
      </right>
      <top style="thin">
        <color rgb="00A6A6A6"/>
      </top>
      <bottom style="medium">
        <color rgb="00595959"/>
      </bottom>
    </border>
    <border>
      <left style="thin">
        <color rgb="00A6A6A6"/>
      </left>
      <right style="thin">
        <color rgb="00A6A6A6"/>
      </right>
      <top style="medium">
        <color rgb="00595959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595959"/>
      </bottom>
    </border>
    <border>
      <left style="thin">
        <color rgb="00A6A6A6"/>
      </left>
      <right style="medium">
        <color rgb="00595959"/>
      </right>
      <top style="medium">
        <color rgb="00595959"/>
      </top>
      <bottom style="thin">
        <color rgb="00A6A6A6"/>
      </bottom>
    </border>
    <border>
      <left style="thin">
        <color rgb="00A6A6A6"/>
      </left>
      <right style="medium">
        <color rgb="00595959"/>
      </right>
      <top style="thin">
        <color rgb="00A6A6A6"/>
      </top>
      <bottom style="medium">
        <color rgb="00595959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2" borderId="4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 indent="1"/>
    </xf>
    <xf numFmtId="0" fontId="0" fillId="0" borderId="6" pivotButton="0" quotePrefix="0" xfId="0"/>
    <xf numFmtId="0" fontId="2" fillId="2" borderId="6" applyAlignment="1" pivotButton="0" quotePrefix="0" xfId="0">
      <alignment horizontal="center" vertical="center" wrapText="1"/>
    </xf>
    <xf numFmtId="0" fontId="0" fillId="0" borderId="8" pivotButton="0" quotePrefix="0" xfId="0"/>
    <xf numFmtId="0" fontId="2" fillId="2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1"/>
    </xf>
    <xf numFmtId="0" fontId="0" fillId="0" borderId="3" pivotButton="0" quotePrefix="0" xfId="0"/>
    <xf numFmtId="0" fontId="6" fillId="3" borderId="2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center" indent="1"/>
    </xf>
    <xf numFmtId="3" fontId="4" fillId="0" borderId="1" applyAlignment="1" pivotButton="0" quotePrefix="0" xfId="0">
      <alignment horizontal="left" vertical="center" indent="1"/>
    </xf>
    <xf numFmtId="10" fontId="4" fillId="0" borderId="1" applyAlignment="1" pivotButton="0" quotePrefix="0" xfId="0">
      <alignment horizontal="left" vertical="center" indent="1"/>
    </xf>
    <xf numFmtId="10" fontId="8" fillId="4" borderId="1" applyAlignment="1" pivotButton="0" quotePrefix="0" xfId="0">
      <alignment horizontal="left" vertical="center" indent="1"/>
    </xf>
    <xf numFmtId="164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top" wrapText="1" indent="1"/>
    </xf>
    <xf numFmtId="0" fontId="0" fillId="0" borderId="2" pivotButton="0" quotePrefix="0" xfId="0"/>
    <xf numFmtId="0" fontId="2" fillId="5" borderId="2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top" wrapText="1" indent="1"/>
    </xf>
    <xf numFmtId="0" fontId="9" fillId="0" borderId="1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left" vertical="top" wrapText="1" indent="1"/>
    </xf>
    <xf numFmtId="0" fontId="0" fillId="0" borderId="7" pivotButton="0" quotePrefix="0" xfId="0"/>
    <xf numFmtId="0" fontId="0" fillId="0" borderId="9" pivotButton="0" quotePrefix="0" xfId="0"/>
    <xf numFmtId="0" fontId="10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indent="1"/>
    </xf>
    <xf numFmtId="0" fontId="9" fillId="5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0" fontId="18" fillId="0" borderId="1" applyAlignment="1" pivotButton="0" quotePrefix="0" xfId="0">
      <alignment horizontal="left" vertical="center" wrapText="1" indent="1"/>
    </xf>
    <xf numFmtId="0" fontId="19" fillId="0" borderId="1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inlineStr">
        <is>
          <t>불  량  대  책  서</t>
        </is>
      </c>
      <c r="E1" s="2" t="inlineStr">
        <is>
          <t>결
재</t>
        </is>
      </c>
      <c r="F1" s="3" t="inlineStr">
        <is>
          <t>작성</t>
        </is>
      </c>
      <c r="G1" s="3" t="inlineStr">
        <is>
          <t>검토</t>
        </is>
      </c>
      <c r="H1" s="3" t="inlineStr">
        <is>
          <t>승인</t>
        </is>
      </c>
    </row>
    <row r="2" ht="17" customHeight="1">
      <c r="E2" s="4" t="n"/>
      <c r="F2" s="4" t="n"/>
      <c r="G2" s="4" t="n"/>
      <c r="H2" s="4" t="n"/>
    </row>
    <row r="3" ht="17" customHeight="1">
      <c r="E3" s="4" t="n"/>
      <c r="F3" s="4" t="n"/>
      <c r="G3" s="4" t="n"/>
      <c r="H3" s="4" t="n"/>
    </row>
    <row r="4" ht="7" customHeight="1"/>
    <row r="5" ht="19" customHeight="1">
      <c r="A5" s="5" t="inlineStr">
        <is>
          <t>문서번호</t>
        </is>
      </c>
      <c r="B5" s="6" t="inlineStr">
        <is>
          <t>QA-CAP-CRACK-20260819-001</t>
        </is>
      </c>
      <c r="C5" s="7" t="n"/>
      <c r="D5" s="7" t="n"/>
      <c r="E5" s="8" t="inlineStr">
        <is>
          <t>발행일시</t>
        </is>
      </c>
      <c r="F5" s="6" t="inlineStr">
        <is>
          <t>2026-08-19 09:00:00</t>
        </is>
      </c>
      <c r="G5" s="7" t="n"/>
      <c r="H5" s="9" t="n"/>
    </row>
    <row r="6" ht="19" customHeight="1">
      <c r="A6" s="10" t="inlineStr">
        <is>
          <t>담당자</t>
        </is>
      </c>
      <c r="B6" s="11" t="inlineStr">
        <is>
          <t>품질보증팀 / 배정 대기</t>
        </is>
      </c>
      <c r="C6" s="4" t="n"/>
      <c r="D6" s="4" t="n"/>
      <c r="E6" s="2" t="inlineStr">
        <is>
          <t>초동조치 기한</t>
        </is>
      </c>
      <c r="F6" s="12" t="inlineStr">
        <is>
          <t>2026-08-19 18:00</t>
        </is>
      </c>
      <c r="G6" s="4" t="n"/>
      <c r="H6" s="13" t="n"/>
    </row>
    <row r="7" ht="19" customHeight="1">
      <c r="A7" s="10" t="inlineStr">
        <is>
          <t>문서상태</t>
        </is>
      </c>
      <c r="B7" s="11" t="inlineStr">
        <is>
          <t>ISSUED (발행)</t>
        </is>
      </c>
      <c r="C7" s="4" t="n"/>
      <c r="D7" s="4" t="n"/>
      <c r="E7" s="2" t="inlineStr">
        <is>
          <t>최종대책 기한</t>
        </is>
      </c>
      <c r="F7" s="12" t="inlineStr">
        <is>
          <t>2026-08-22 18:00</t>
        </is>
      </c>
      <c r="G7" s="4" t="n"/>
      <c r="H7" s="13" t="n"/>
    </row>
    <row r="8" ht="17" customHeight="1">
      <c r="A8" s="14" t="inlineStr">
        <is>
          <t>1.  불량 현황        시스템 자동 집계 · 수정 금지</t>
        </is>
      </c>
      <c r="B8" s="4" t="n"/>
      <c r="C8" s="4" t="n"/>
      <c r="D8" s="4" t="n"/>
      <c r="E8" s="4" t="n"/>
      <c r="F8" s="4" t="n"/>
      <c r="G8" s="4" t="n"/>
      <c r="H8" s="13" t="n"/>
    </row>
    <row r="9" ht="19" customHeight="1">
      <c r="A9" s="10" t="inlineStr">
        <is>
          <t>대상 부품</t>
        </is>
      </c>
      <c r="B9" s="15" t="inlineStr">
        <is>
          <t>CAP · Small Capacitor (캐패시터 / C-001)</t>
        </is>
      </c>
      <c r="C9" s="4" t="n"/>
      <c r="D9" s="4" t="n"/>
      <c r="E9" s="2" t="inlineStr">
        <is>
          <t>불량 유형</t>
        </is>
      </c>
      <c r="F9" s="11" t="inlineStr">
        <is>
          <t>CRACK (균열)</t>
        </is>
      </c>
      <c r="G9" s="4" t="n"/>
      <c r="H9" s="13" t="n"/>
    </row>
    <row r="10" ht="19" customHeight="1">
      <c r="A10" s="10" t="inlineStr">
        <is>
          <t>집계 기간</t>
        </is>
      </c>
      <c r="B10" s="15" t="inlineStr">
        <is>
          <t>2026-08-12 ~ 08-19  (7일 / ROLLING)</t>
        </is>
      </c>
      <c r="C10" s="4" t="n"/>
      <c r="D10" s="4" t="n"/>
      <c r="E10" s="2" t="inlineStr">
        <is>
          <t>레시피 버전</t>
        </is>
      </c>
      <c r="F10" s="11" t="inlineStr">
        <is>
          <t>mock-v3</t>
        </is>
      </c>
      <c r="G10" s="4" t="n"/>
      <c r="H10" s="13" t="n"/>
    </row>
    <row r="11" ht="19" customHeight="1">
      <c r="A11" s="10" t="inlineStr">
        <is>
          <t>검사 수량</t>
        </is>
      </c>
      <c r="B11" s="16" t="n">
        <v>10000</v>
      </c>
      <c r="C11" s="4" t="n"/>
      <c r="D11" s="4" t="n"/>
      <c r="E11" s="2" t="inlineStr">
        <is>
          <t>불량 수량</t>
        </is>
      </c>
      <c r="F11" s="16" t="n">
        <v>37</v>
      </c>
      <c r="G11" s="4" t="n"/>
      <c r="H11" s="13" t="n"/>
    </row>
    <row r="12" ht="19" customHeight="1">
      <c r="A12" s="10" t="inlineStr">
        <is>
          <t>기준 불량률</t>
        </is>
      </c>
      <c r="B12" s="17" t="n">
        <v>0.003</v>
      </c>
      <c r="C12" s="4" t="n"/>
      <c r="D12" s="4" t="n"/>
      <c r="E12" s="2" t="inlineStr">
        <is>
          <t>실제 불량률</t>
        </is>
      </c>
      <c r="F12" s="18" t="n">
        <v>0.0037</v>
      </c>
      <c r="G12" s="4" t="n"/>
      <c r="H12" s="13" t="n"/>
    </row>
    <row r="13" ht="19" customHeight="1">
      <c r="A13" s="10" t="inlineStr">
        <is>
          <t>초과폭</t>
        </is>
      </c>
      <c r="B13" s="19">
        <f>IFERROR(MAX(F12-B12,0)*100,"")</f>
        <v/>
      </c>
      <c r="C13" s="4" t="n"/>
      <c r="D13" s="4" t="n"/>
      <c r="E13" s="2" t="inlineStr">
        <is>
          <t>최초 초과 시각</t>
        </is>
      </c>
      <c r="F13" s="11" t="inlineStr">
        <is>
          <t>2026-08-18 16:30:12</t>
        </is>
      </c>
      <c r="G13" s="4" t="n"/>
      <c r="H13" s="13" t="n"/>
    </row>
    <row r="14" ht="19" customHeight="1">
      <c r="A14" s="10" t="inlineStr">
        <is>
          <t>발생 집중</t>
        </is>
      </c>
      <c r="B14" s="15" t="inlineStr">
        <is>
          <t>SLOT-07 19건 · SLOT-12 12건 · 기타 6건</t>
        </is>
      </c>
      <c r="C14" s="4" t="n"/>
      <c r="D14" s="4" t="n"/>
      <c r="E14" s="2" t="inlineStr">
        <is>
          <t>직전 기간 대비</t>
        </is>
      </c>
      <c r="F14" s="15" t="inlineStr">
        <is>
          <t>0.11% → 0.37%  (3.4배 · 08-16 이후)</t>
        </is>
      </c>
      <c r="G14" s="4" t="n"/>
      <c r="H14" s="13" t="n"/>
    </row>
    <row r="15" ht="20" customHeight="1">
      <c r="A15" s="10" t="inlineStr">
        <is>
          <t>불량 현상</t>
        </is>
      </c>
      <c r="B15" s="20" t="inlineStr">
        <is>
          <t>CAP 슬롯의 CRACK 불량이 집계기간 누적 37건 / 10,000건으로 기준 0.30%를 초과했다. 완성품 1,250대 중 34대에서 발생했고 SLOT-07·SLOT-12 두 슬롯에 84%가 집중되어 있다. 08-16 mock-v3 적용 시점부터 급증했다. 근거 유닛과 검사 이미지 경로는 「근거」 시트에 발행 시점 그대로 고정되어 있다.</t>
        </is>
      </c>
      <c r="C15" s="4" t="n"/>
      <c r="D15" s="4" t="n"/>
      <c r="E15" s="4" t="n"/>
      <c r="F15" s="4" t="n"/>
      <c r="G15" s="4" t="n"/>
      <c r="H15" s="13" t="n"/>
    </row>
    <row r="16" ht="20" customHeight="1">
      <c r="A16" s="21" t="n"/>
      <c r="B16" s="4" t="n"/>
      <c r="C16" s="4" t="n"/>
      <c r="D16" s="4" t="n"/>
      <c r="E16" s="4" t="n"/>
      <c r="F16" s="4" t="n"/>
      <c r="G16" s="4" t="n"/>
      <c r="H16" s="13" t="n"/>
    </row>
    <row r="17" ht="20" customHeight="1">
      <c r="A17" s="21" t="n"/>
      <c r="B17" s="4" t="n"/>
      <c r="C17" s="4" t="n"/>
      <c r="D17" s="4" t="n"/>
      <c r="E17" s="4" t="n"/>
      <c r="F17" s="4" t="n"/>
      <c r="G17" s="4" t="n"/>
      <c r="H17" s="13" t="n"/>
    </row>
    <row r="18" ht="20" customHeight="1">
      <c r="A18" s="22" t="inlineStr">
        <is>
          <t>자동 분석</t>
        </is>
      </c>
      <c r="B18" s="23" t="inlineStr">
        <is>
          <t>① 발생이 SLOT-07·SLOT-12에 84% 집중 → 부품 Lot보다 공정·설비 원인을 먼저 의심한다.「근거」
② 급증 시점(08-16)이 mock-v3 적용 시점과 일치 → 그리퍼 파지력·배치 하강속도 상향이 1순위 확인 대상.「판단자료」B
③ 2026-04 동일 부품·유형 대책서 1건(하강속도 과다 / CLOSED) → 재발 가능성. 당시 대책이 왜 듣지 않았는지 확인.「판단자료」C
④ 대체품 5종 중 CRACK에 유리한 후보 1종(ALT-04 soft termination). 부품 원인 확정 전 적용 금지.「대체품」</t>
        </is>
      </c>
      <c r="C18" s="4" t="n"/>
      <c r="D18" s="4" t="n"/>
      <c r="E18" s="4" t="n"/>
      <c r="F18" s="4" t="n"/>
      <c r="G18" s="4" t="n"/>
      <c r="H18" s="13" t="n"/>
    </row>
    <row r="19" ht="20" customHeight="1">
      <c r="A19" s="21" t="n"/>
      <c r="B19" s="4" t="n"/>
      <c r="C19" s="4" t="n"/>
      <c r="D19" s="4" t="n"/>
      <c r="E19" s="4" t="n"/>
      <c r="F19" s="4" t="n"/>
      <c r="G19" s="4" t="n"/>
      <c r="H19" s="13" t="n"/>
    </row>
    <row r="20" ht="19" customHeight="1">
      <c r="A20" s="10" t="inlineStr">
        <is>
          <t>별  지</t>
        </is>
      </c>
      <c r="B20" s="24" t="inlineStr">
        <is>
          <t>「근거」 유닛·슬롯·이미지   |   「판단자료」 추세 · 레시피 변경 · 과거 이력 · 체크리스트   |   「대체품」 후보 비교</t>
        </is>
      </c>
      <c r="C20" s="4" t="n"/>
      <c r="D20" s="4" t="n"/>
      <c r="E20" s="4" t="n"/>
      <c r="F20" s="4" t="n"/>
      <c r="G20" s="4" t="n"/>
      <c r="H20" s="13" t="n"/>
    </row>
    <row r="21" ht="17" customHeight="1">
      <c r="A21" s="14" t="inlineStr">
        <is>
          <t>2.  담당자 작성        ① → 초동조치 기한까지   ·   ②~⑥ → 최종대책 기한까지</t>
        </is>
      </c>
      <c r="B21" s="4" t="n"/>
      <c r="C21" s="4" t="n"/>
      <c r="D21" s="4" t="n"/>
      <c r="E21" s="4" t="n"/>
      <c r="F21" s="4" t="n"/>
      <c r="G21" s="4" t="n"/>
      <c r="H21" s="13" t="n"/>
    </row>
    <row r="22" ht="18" customHeight="1">
      <c r="A22" s="10" t="inlineStr">
        <is>
          <t>①
초동 조치
(당일)</t>
        </is>
      </c>
      <c r="B22" s="20" t="inlineStr"/>
      <c r="C22" s="4" t="n"/>
      <c r="D22" s="4" t="n"/>
      <c r="E22" s="4" t="n"/>
      <c r="F22" s="4" t="n"/>
      <c r="G22" s="4" t="n"/>
      <c r="H22" s="13" t="n"/>
    </row>
    <row r="23" ht="18" customHeight="1">
      <c r="A23" s="21" t="n"/>
      <c r="B23" s="4" t="n"/>
      <c r="C23" s="4" t="n"/>
      <c r="D23" s="4" t="n"/>
      <c r="E23" s="4" t="n"/>
      <c r="F23" s="4" t="n"/>
      <c r="G23" s="4" t="n"/>
      <c r="H23" s="13" t="n"/>
    </row>
    <row r="24" ht="18" customHeight="1">
      <c r="A24" s="21" t="n"/>
      <c r="B24" s="4" t="n"/>
      <c r="C24" s="4" t="n"/>
      <c r="D24" s="4" t="n"/>
      <c r="E24" s="4" t="n"/>
      <c r="F24" s="4" t="n"/>
      <c r="G24" s="4" t="n"/>
      <c r="H24" s="13" t="n"/>
    </row>
    <row r="25" ht="18" customHeight="1">
      <c r="A25" s="10" t="inlineStr">
        <is>
          <t>②
발생 원인</t>
        </is>
      </c>
      <c r="B25" s="20" t="inlineStr"/>
      <c r="C25" s="4" t="n"/>
      <c r="D25" s="4" t="n"/>
      <c r="E25" s="4" t="n"/>
      <c r="F25" s="4" t="n"/>
      <c r="G25" s="4" t="n"/>
      <c r="H25" s="13" t="n"/>
    </row>
    <row r="26" ht="18" customHeight="1">
      <c r="A26" s="21" t="n"/>
      <c r="B26" s="4" t="n"/>
      <c r="C26" s="4" t="n"/>
      <c r="D26" s="4" t="n"/>
      <c r="E26" s="4" t="n"/>
      <c r="F26" s="4" t="n"/>
      <c r="G26" s="4" t="n"/>
      <c r="H26" s="13" t="n"/>
    </row>
    <row r="27" ht="18" customHeight="1">
      <c r="A27" s="21" t="n"/>
      <c r="B27" s="4" t="n"/>
      <c r="C27" s="4" t="n"/>
      <c r="D27" s="4" t="n"/>
      <c r="E27" s="4" t="n"/>
      <c r="F27" s="4" t="n"/>
      <c r="G27" s="4" t="n"/>
      <c r="H27" s="13" t="n"/>
    </row>
    <row r="28" ht="18" customHeight="1">
      <c r="A28" s="10" t="inlineStr">
        <is>
          <t>③
유출 원인</t>
        </is>
      </c>
      <c r="B28" s="20" t="inlineStr"/>
      <c r="C28" s="4" t="n"/>
      <c r="D28" s="4" t="n"/>
      <c r="E28" s="4" t="n"/>
      <c r="F28" s="4" t="n"/>
      <c r="G28" s="4" t="n"/>
      <c r="H28" s="13" t="n"/>
    </row>
    <row r="29" ht="18" customHeight="1">
      <c r="A29" s="21" t="n"/>
      <c r="B29" s="4" t="n"/>
      <c r="C29" s="4" t="n"/>
      <c r="D29" s="4" t="n"/>
      <c r="E29" s="4" t="n"/>
      <c r="F29" s="4" t="n"/>
      <c r="G29" s="4" t="n"/>
      <c r="H29" s="13" t="n"/>
    </row>
    <row r="30" ht="18" customHeight="1">
      <c r="A30" s="21" t="n"/>
      <c r="B30" s="4" t="n"/>
      <c r="C30" s="4" t="n"/>
      <c r="D30" s="4" t="n"/>
      <c r="E30" s="4" t="n"/>
      <c r="F30" s="4" t="n"/>
      <c r="G30" s="4" t="n"/>
      <c r="H30" s="13" t="n"/>
    </row>
    <row r="31" ht="18" customHeight="1">
      <c r="A31" s="10" t="inlineStr">
        <is>
          <t>④
재발방지
대책</t>
        </is>
      </c>
      <c r="B31" s="20" t="inlineStr"/>
      <c r="C31" s="4" t="n"/>
      <c r="D31" s="4" t="n"/>
      <c r="E31" s="4" t="n"/>
      <c r="F31" s="4" t="n"/>
      <c r="G31" s="4" t="n"/>
      <c r="H31" s="13" t="n"/>
    </row>
    <row r="32" ht="18" customHeight="1">
      <c r="A32" s="21" t="n"/>
      <c r="B32" s="4" t="n"/>
      <c r="C32" s="4" t="n"/>
      <c r="D32" s="4" t="n"/>
      <c r="E32" s="4" t="n"/>
      <c r="F32" s="4" t="n"/>
      <c r="G32" s="4" t="n"/>
      <c r="H32" s="13" t="n"/>
    </row>
    <row r="33" ht="18" customHeight="1">
      <c r="A33" s="21" t="n"/>
      <c r="B33" s="4" t="n"/>
      <c r="C33" s="4" t="n"/>
      <c r="D33" s="4" t="n"/>
      <c r="E33" s="4" t="n"/>
      <c r="F33" s="4" t="n"/>
      <c r="G33" s="4" t="n"/>
      <c r="H33" s="13" t="n"/>
    </row>
    <row r="34" ht="16" customHeight="1">
      <c r="A34" s="10" t="inlineStr">
        <is>
          <t>⑤
효과 검증</t>
        </is>
      </c>
      <c r="B34" s="25" t="inlineStr">
        <is>
          <t>검증 기간</t>
        </is>
      </c>
      <c r="C34" s="4" t="n"/>
      <c r="D34" s="25" t="inlineStr">
        <is>
          <t>적용 레시피</t>
        </is>
      </c>
      <c r="E34" s="25" t="inlineStr">
        <is>
          <t>검증 수량</t>
        </is>
      </c>
      <c r="F34" s="25" t="inlineStr">
        <is>
          <t>불량 수량</t>
        </is>
      </c>
      <c r="G34" s="25" t="inlineStr">
        <is>
          <t>검증 불량률</t>
        </is>
      </c>
      <c r="H34" s="26" t="inlineStr">
        <is>
          <t>판정</t>
        </is>
      </c>
    </row>
    <row r="35" ht="18" customHeight="1">
      <c r="A35" s="21" t="n"/>
      <c r="B35" s="27" t="inlineStr"/>
      <c r="C35" s="4" t="n"/>
      <c r="D35" s="27" t="inlineStr"/>
      <c r="E35" s="28" t="inlineStr"/>
      <c r="F35" s="28" t="inlineStr"/>
      <c r="G35" s="29">
        <f>IFERROR(F35/E35,"")</f>
        <v/>
      </c>
      <c r="H35" s="30" t="inlineStr">
        <is>
          <t>PENDING</t>
        </is>
      </c>
    </row>
    <row r="36" ht="28" customHeight="1">
      <c r="A36" s="21" t="n"/>
      <c r="B36" s="20" t="inlineStr"/>
      <c r="C36" s="4" t="n"/>
      <c r="D36" s="4" t="n"/>
      <c r="E36" s="4" t="n"/>
      <c r="F36" s="4" t="n"/>
      <c r="G36" s="4" t="n"/>
      <c r="H36" s="13" t="n"/>
    </row>
    <row r="37" ht="19" customHeight="1">
      <c r="A37" s="10" t="inlineStr">
        <is>
          <t>⑥ 종결 판정</t>
        </is>
      </c>
      <c r="B37" s="11" t="inlineStr"/>
      <c r="C37" s="4" t="n"/>
      <c r="D37" s="4" t="n"/>
      <c r="E37" s="2" t="inlineStr">
        <is>
          <t>종결일</t>
        </is>
      </c>
      <c r="F37" s="11" t="inlineStr"/>
      <c r="G37" s="4" t="n"/>
      <c r="H37" s="13" t="n"/>
    </row>
    <row r="38" ht="28" customHeight="1">
      <c r="A38" s="31" t="inlineStr">
        <is>
          <t>종결 의견</t>
        </is>
      </c>
      <c r="B38" s="32" t="inlineStr"/>
      <c r="C38" s="33" t="n"/>
      <c r="D38" s="33" t="n"/>
      <c r="E38" s="33" t="n"/>
      <c r="F38" s="33" t="n"/>
      <c r="G38" s="33" t="n"/>
      <c r="H38" s="34" t="n"/>
    </row>
    <row r="39" ht="14" customHeight="1">
      <c r="A39" s="35" t="inlineStr">
        <is>
          <t>자동 발행: MAIN_SERVER/scan_quality.py   ·   샘플 (담당자 작성 영역 미작성)   ·   결재 대상은 이 시트 1장</t>
        </is>
      </c>
    </row>
  </sheetData>
  <mergeCells count="46">
    <mergeCell ref="B11:D11"/>
    <mergeCell ref="B14:D14"/>
    <mergeCell ref="F5:H5"/>
    <mergeCell ref="A39:H39"/>
    <mergeCell ref="B18:H19"/>
    <mergeCell ref="B13:D13"/>
    <mergeCell ref="F2:F3"/>
    <mergeCell ref="B15:H17"/>
    <mergeCell ref="B20:H20"/>
    <mergeCell ref="H2:H3"/>
    <mergeCell ref="A22:A24"/>
    <mergeCell ref="B10:D10"/>
    <mergeCell ref="B36:H36"/>
    <mergeCell ref="B37:D37"/>
    <mergeCell ref="F13:H13"/>
    <mergeCell ref="A34:A36"/>
    <mergeCell ref="A28:A30"/>
    <mergeCell ref="B9:D9"/>
    <mergeCell ref="A15:A17"/>
    <mergeCell ref="F9:H9"/>
    <mergeCell ref="A31:A33"/>
    <mergeCell ref="A18:A19"/>
    <mergeCell ref="B6:D6"/>
    <mergeCell ref="B25:H27"/>
    <mergeCell ref="F37:H37"/>
    <mergeCell ref="B31:H33"/>
    <mergeCell ref="B5:D5"/>
    <mergeCell ref="A21:H21"/>
    <mergeCell ref="A1:D3"/>
    <mergeCell ref="F14:H14"/>
    <mergeCell ref="B22:H24"/>
    <mergeCell ref="B34:C34"/>
    <mergeCell ref="E1:E3"/>
    <mergeCell ref="B7:D7"/>
    <mergeCell ref="A8:H8"/>
    <mergeCell ref="F11:H11"/>
    <mergeCell ref="F10:H10"/>
    <mergeCell ref="F6:H6"/>
    <mergeCell ref="A25:A27"/>
    <mergeCell ref="B38:H38"/>
    <mergeCell ref="F12:H12"/>
    <mergeCell ref="F7:H7"/>
    <mergeCell ref="B12:D12"/>
    <mergeCell ref="G2:G3"/>
    <mergeCell ref="B35:C35"/>
    <mergeCell ref="B28:H30"/>
  </mergeCells>
  <dataValidations count="4">
    <dataValidation sqref="F9" showDropDown="0" showInputMessage="0" showErrorMessage="0" allowBlank="1" type="list">
      <formula1>"MISSING (미삽입),POSITION_ERROR (위치이상),ORIENTATION_ERROR (방향이상),CRACK (균열)"</formula1>
    </dataValidation>
    <dataValidation sqref="B7" showDropDown="0" showInputMessage="0" showErrorMessage="0" allowBlank="1" type="list">
      <formula1>"ISSUED (발행),ASSIGNED (배정),IN_PROGRESS (조치중),VERIFYING (검증중),CLOSED (종결)"</formula1>
    </dataValidation>
    <dataValidation sqref="B35" showDropDown="0" showInputMessage="0" showErrorMessage="0" allowBlank="1" type="list">
      <formula1>"ISSUED (발행),ASSIGNED (배정),IN_PROGRESS (조치중),VERIFYING (검증중),CLOSED (종결)"</formula1>
    </dataValidation>
    <dataValidation sqref="H35" showDropDown="0" showInputMessage="0" showErrorMessage="0" allowBlank="1" type="list">
      <formula1>"PENDING,EFFECTIVE,INEFFECTIVE"</formula1>
    </dataValidation>
  </dataValidations>
  <pageMargins left="0.35" right="0.35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36" t="inlineStr">
        <is>
          <t>발행 시점 고정 근거        [발행 시점 고정]</t>
        </is>
      </c>
    </row>
    <row r="2" ht="15" customHeight="1">
      <c r="A2" s="37" t="inlineStr">
        <is>
          <t>defect_report.alert_evidence 스냅샷 · 문서번호 QA-CAP-CRACK-20260819-001 · 수정 금지</t>
        </is>
      </c>
    </row>
    <row r="3" ht="17" customHeight="1">
      <c r="A3" s="38" t="inlineStr">
        <is>
          <t>슬롯별 발생 분포        어느 슬롯에 몰려 있는지 · 공정 원인 판단의 1차 근거</t>
        </is>
      </c>
    </row>
    <row r="4" ht="17" customHeight="1">
      <c r="A4" s="25" t="inlineStr">
        <is>
          <t>슬롯</t>
        </is>
      </c>
      <c r="B4" s="25" t="inlineStr">
        <is>
          <t>불량 건수</t>
        </is>
      </c>
      <c r="C4" s="25" t="inlineStr">
        <is>
          <t>슬롯 불량률</t>
        </is>
      </c>
      <c r="D4" s="25" t="inlineStr">
        <is>
          <t>비고</t>
        </is>
      </c>
      <c r="E4" s="4" t="n"/>
    </row>
    <row r="5" ht="16" customHeight="1">
      <c r="A5" s="27" t="inlineStr">
        <is>
          <t>SLOT-07</t>
        </is>
      </c>
      <c r="B5" s="28" t="n">
        <v>19</v>
      </c>
      <c r="C5" s="29" t="n">
        <v>0.0152</v>
      </c>
      <c r="D5" s="15" t="inlineStr">
        <is>
          <t>84%가 이 두 슬롯 · 공정/설비 우선 의심</t>
        </is>
      </c>
      <c r="E5" s="4" t="n"/>
    </row>
    <row r="6" ht="16" customHeight="1">
      <c r="A6" s="27" t="inlineStr">
        <is>
          <t>SLOT-12</t>
        </is>
      </c>
      <c r="B6" s="28" t="n">
        <v>12</v>
      </c>
      <c r="C6" s="29" t="n">
        <v>0.009599999999999999</v>
      </c>
      <c r="D6" s="15" t="inlineStr"/>
      <c r="E6" s="4" t="n"/>
    </row>
    <row r="7" ht="16" customHeight="1">
      <c r="A7" s="27" t="inlineStr">
        <is>
          <t>SLOT-03</t>
        </is>
      </c>
      <c r="B7" s="28" t="n">
        <v>4</v>
      </c>
      <c r="C7" s="29" t="n">
        <v>0.0032</v>
      </c>
      <c r="D7" s="15" t="inlineStr"/>
      <c r="E7" s="4" t="n"/>
    </row>
    <row r="8" ht="16" customHeight="1">
      <c r="A8" s="27" t="inlineStr">
        <is>
          <t>SLOT-19</t>
        </is>
      </c>
      <c r="B8" s="28" t="n">
        <v>2</v>
      </c>
      <c r="C8" s="29" t="n">
        <v>0.0016</v>
      </c>
      <c r="D8" s="15" t="inlineStr"/>
      <c r="E8" s="4" t="n"/>
    </row>
    <row r="10" ht="17" customHeight="1">
      <c r="A10" s="38" t="inlineStr">
        <is>
          <t>불량 유닛 목록</t>
        </is>
      </c>
    </row>
    <row r="11" ht="17" customHeight="1">
      <c r="A11" s="3" t="inlineStr">
        <is>
          <t>unit_id</t>
        </is>
      </c>
      <c r="B11" s="3" t="inlineStr">
        <is>
          <t>슬롯</t>
        </is>
      </c>
      <c r="C11" s="3" t="inlineStr">
        <is>
          <t>불량 유형</t>
        </is>
      </c>
      <c r="D11" s="3" t="inlineStr">
        <is>
          <t>검사 시각</t>
        </is>
      </c>
      <c r="E11" s="3" t="inlineStr">
        <is>
          <t>검사 이미지 경로</t>
        </is>
      </c>
    </row>
    <row r="12" ht="16" customHeight="1">
      <c r="A12" s="39" t="n">
        <v>10412</v>
      </c>
      <c r="B12" s="39" t="inlineStr">
        <is>
          <t>SLOT-07</t>
        </is>
      </c>
      <c r="C12" s="39" t="inlineStr">
        <is>
          <t>CRACK</t>
        </is>
      </c>
      <c r="D12" s="39" t="inlineStr">
        <is>
          <t>2026-08-18 16:30:12</t>
        </is>
      </c>
      <c r="E12" s="40" t="inlineStr">
        <is>
          <t>/var/lib/inspect/2026-08-18/u10412.png</t>
        </is>
      </c>
    </row>
    <row r="13" ht="16" customHeight="1">
      <c r="A13" s="39" t="n">
        <v>10418</v>
      </c>
      <c r="B13" s="39" t="inlineStr">
        <is>
          <t>SLOT-12</t>
        </is>
      </c>
      <c r="C13" s="39" t="inlineStr">
        <is>
          <t>CRACK</t>
        </is>
      </c>
      <c r="D13" s="39" t="inlineStr">
        <is>
          <t>2026-08-18 16:41:55</t>
        </is>
      </c>
      <c r="E13" s="40" t="inlineStr">
        <is>
          <t>/var/lib/inspect/2026-08-18/u10418.png</t>
        </is>
      </c>
    </row>
    <row r="14" ht="16" customHeight="1">
      <c r="A14" s="39" t="n">
        <v>10425</v>
      </c>
      <c r="B14" s="39" t="inlineStr">
        <is>
          <t>SLOT-07</t>
        </is>
      </c>
      <c r="C14" s="39" t="inlineStr">
        <is>
          <t>CRACK</t>
        </is>
      </c>
      <c r="D14" s="39" t="inlineStr">
        <is>
          <t>2026-08-18 17:02:30</t>
        </is>
      </c>
      <c r="E14" s="40" t="inlineStr">
        <is>
          <t>/var/lib/inspect/2026-08-18/u10425.png</t>
        </is>
      </c>
    </row>
    <row r="15" ht="16" customHeight="1">
      <c r="A15" s="39" t="n">
        <v>10431</v>
      </c>
      <c r="B15" s="39" t="inlineStr">
        <is>
          <t>SLOT-07</t>
        </is>
      </c>
      <c r="C15" s="39" t="inlineStr">
        <is>
          <t>CRACK</t>
        </is>
      </c>
      <c r="D15" s="39" t="inlineStr">
        <is>
          <t>2026-08-18 17:19:08</t>
        </is>
      </c>
      <c r="E15" s="40" t="inlineStr">
        <is>
          <t>/var/lib/inspect/2026-08-18/u10431.png</t>
        </is>
      </c>
    </row>
    <row r="16" ht="16" customHeight="1">
      <c r="A16" s="39" t="n">
        <v>10447</v>
      </c>
      <c r="B16" s="39" t="inlineStr">
        <is>
          <t>SLOT-12</t>
        </is>
      </c>
      <c r="C16" s="39" t="inlineStr">
        <is>
          <t>CRACK</t>
        </is>
      </c>
      <c r="D16" s="39" t="inlineStr">
        <is>
          <t>2026-08-18 18:03:41</t>
        </is>
      </c>
      <c r="E16" s="40" t="inlineStr">
        <is>
          <t>/var/lib/inspect/2026-08-18/u10447.png</t>
        </is>
      </c>
    </row>
    <row r="17" ht="16" customHeight="1">
      <c r="A17" s="39" t="inlineStr">
        <is>
          <t>…</t>
        </is>
      </c>
      <c r="B17" s="39" t="inlineStr">
        <is>
          <t>…</t>
        </is>
      </c>
      <c r="C17" s="39" t="inlineStr">
        <is>
          <t>…</t>
        </is>
      </c>
      <c r="D17" s="39" t="inlineStr">
        <is>
          <t>…</t>
        </is>
      </c>
      <c r="E17" s="40" t="inlineStr">
        <is>
          <t>총 37행 · 발행 시점 스냅샷</t>
        </is>
      </c>
    </row>
  </sheetData>
  <mergeCells count="9">
    <mergeCell ref="D8:E8"/>
    <mergeCell ref="D6:E6"/>
    <mergeCell ref="D7:E7"/>
    <mergeCell ref="A2:E2"/>
    <mergeCell ref="A10:E10"/>
    <mergeCell ref="D5:E5"/>
    <mergeCell ref="A1:E1"/>
    <mergeCell ref="D4:E4"/>
    <mergeCell ref="A3:E3"/>
  </mergeCells>
  <pageMargins left="0.35" right="0.35" top="0.45" bottom="0.45" header="0.2" footer="0.2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  <col width="30" customWidth="1" min="8" max="8"/>
  </cols>
  <sheetData>
    <row r="1" ht="20" customHeight="1">
      <c r="A1" s="36" t="inlineStr">
        <is>
          <t>판단 자료</t>
        </is>
      </c>
    </row>
    <row r="2" ht="15" customHeight="1">
      <c r="A2" s="37" t="inlineStr">
        <is>
          <t>담당자가 ②발생 원인 · ③유출 원인을 좁히는 데 쓰는 참고 자료 · 자동 조회 · 결재 대상 아님</t>
        </is>
      </c>
    </row>
    <row r="3" ht="20" customHeight="1">
      <c r="A3" s="41" t="inlineStr">
        <is>
          <t>판단 순서    ①「근거」어느 슬롯에 몰렸나  →  ② A 언제부터 올랐나  →  ③ B 그때 무엇이 바뀌었나  →  ④ C 전에도 있었나  →  ⑤ D 무엇을 확인하나</t>
        </is>
      </c>
    </row>
    <row r="5" ht="17" customHeight="1">
      <c r="A5" s="38" t="inlineStr">
        <is>
          <t>A.  주차별 추세        [발행 시점 고정]</t>
        </is>
      </c>
    </row>
    <row r="6" ht="14" customHeight="1">
      <c r="A6" s="42" t="inlineStr">
        <is>
          <t>언제부터 올라갔는지 · 급변 시점과 아래 B의 레시피 변경 시점을 대조한다</t>
        </is>
      </c>
    </row>
    <row r="7" ht="17" customHeight="1">
      <c r="A7" s="25" t="inlineStr">
        <is>
          <t>주차</t>
        </is>
      </c>
      <c r="B7" s="25" t="inlineStr">
        <is>
          <t>검사 수량</t>
        </is>
      </c>
      <c r="C7" s="25" t="inlineStr">
        <is>
          <t>불량 수량</t>
        </is>
      </c>
      <c r="D7" s="25" t="inlineStr">
        <is>
          <t>불량률</t>
        </is>
      </c>
      <c r="E7" s="25" t="inlineStr">
        <is>
          <t>기준 대비</t>
        </is>
      </c>
      <c r="F7" s="25" t="inlineStr">
        <is>
          <t>레시피</t>
        </is>
      </c>
      <c r="G7" s="25" t="inlineStr">
        <is>
          <t>비고</t>
        </is>
      </c>
      <c r="H7" s="4" t="n"/>
    </row>
    <row r="8" ht="16" customHeight="1">
      <c r="A8" s="27" t="inlineStr">
        <is>
          <t>2026-W29</t>
        </is>
      </c>
      <c r="B8" s="28" t="n">
        <v>2480</v>
      </c>
      <c r="C8" s="28" t="n">
        <v>2</v>
      </c>
      <c r="D8" s="29" t="n">
        <v>0.00081</v>
      </c>
      <c r="E8" s="27" t="inlineStr">
        <is>
          <t>-0.22%p</t>
        </is>
      </c>
      <c r="F8" s="27" t="inlineStr">
        <is>
          <t>mock-v1</t>
        </is>
      </c>
      <c r="G8" s="43" t="inlineStr"/>
      <c r="H8" s="4" t="n"/>
    </row>
    <row r="9" ht="16" customHeight="1">
      <c r="A9" s="27" t="inlineStr">
        <is>
          <t>2026-W30</t>
        </is>
      </c>
      <c r="B9" s="28" t="n">
        <v>2510</v>
      </c>
      <c r="C9" s="28" t="n">
        <v>3</v>
      </c>
      <c r="D9" s="29" t="n">
        <v>0.0012</v>
      </c>
      <c r="E9" s="27" t="inlineStr">
        <is>
          <t>-0.18%p</t>
        </is>
      </c>
      <c r="F9" s="27" t="inlineStr">
        <is>
          <t>mock-v1</t>
        </is>
      </c>
      <c r="G9" s="43" t="inlineStr"/>
      <c r="H9" s="4" t="n"/>
    </row>
    <row r="10" ht="16" customHeight="1">
      <c r="A10" s="27" t="inlineStr">
        <is>
          <t>2026-W31</t>
        </is>
      </c>
      <c r="B10" s="28" t="n">
        <v>2495</v>
      </c>
      <c r="C10" s="28" t="n">
        <v>2</v>
      </c>
      <c r="D10" s="29" t="n">
        <v>0.0008</v>
      </c>
      <c r="E10" s="27" t="inlineStr">
        <is>
          <t>-0.22%p</t>
        </is>
      </c>
      <c r="F10" s="27" t="inlineStr">
        <is>
          <t>mock-v2</t>
        </is>
      </c>
      <c r="G10" s="43" t="inlineStr">
        <is>
          <t>08-05 mock-v2 적용</t>
        </is>
      </c>
      <c r="H10" s="4" t="n"/>
    </row>
    <row r="11" ht="16" customHeight="1">
      <c r="A11" s="27" t="inlineStr">
        <is>
          <t>2026-W32</t>
        </is>
      </c>
      <c r="B11" s="28" t="n">
        <v>2515</v>
      </c>
      <c r="C11" s="28" t="n">
        <v>3</v>
      </c>
      <c r="D11" s="29" t="n">
        <v>0.00119</v>
      </c>
      <c r="E11" s="27" t="inlineStr">
        <is>
          <t>-0.18%p</t>
        </is>
      </c>
      <c r="F11" s="27" t="inlineStr">
        <is>
          <t>mock-v2</t>
        </is>
      </c>
      <c r="G11" s="43" t="inlineStr"/>
      <c r="H11" s="4" t="n"/>
    </row>
    <row r="12" ht="16" customHeight="1">
      <c r="A12" s="27" t="inlineStr">
        <is>
          <t>2026-W33</t>
        </is>
      </c>
      <c r="B12" s="28" t="n">
        <v>2530</v>
      </c>
      <c r="C12" s="28" t="n">
        <v>29</v>
      </c>
      <c r="D12" s="29" t="n">
        <v>0.01146</v>
      </c>
      <c r="E12" s="27" t="inlineStr">
        <is>
          <t>+0.85%p</t>
        </is>
      </c>
      <c r="F12" s="27" t="inlineStr">
        <is>
          <t>mock-v3</t>
        </is>
      </c>
      <c r="G12" s="43" t="inlineStr">
        <is>
          <t>08-16 mock-v3 적용 · 급증 시점</t>
        </is>
      </c>
      <c r="H12" s="4" t="n"/>
    </row>
    <row r="14" ht="17" customHeight="1">
      <c r="A14" s="38" t="inlineStr">
        <is>
          <t>B.  레시피 변경 전후 불량률        [발행 시점 고정]</t>
        </is>
      </c>
    </row>
    <row r="15" ht="14" customHeight="1">
      <c r="A15" s="42" t="inlineStr">
        <is>
          <t>조회 8 · 공정 조건이 원인인지 부품이 원인인지 가르는 1차 근거</t>
        </is>
      </c>
    </row>
    <row r="16" ht="17" customHeight="1">
      <c r="A16" s="25" t="inlineStr">
        <is>
          <t>레시피</t>
        </is>
      </c>
      <c r="B16" s="25" t="inlineStr">
        <is>
          <t>적용 기간</t>
        </is>
      </c>
      <c r="C16" s="25" t="inlineStr">
        <is>
          <t>검사 수량</t>
        </is>
      </c>
      <c r="D16" s="25" t="inlineStr">
        <is>
          <t>불량 수량</t>
        </is>
      </c>
      <c r="E16" s="25" t="inlineStr">
        <is>
          <t>불량률</t>
        </is>
      </c>
      <c r="F16" s="25" t="inlineStr">
        <is>
          <t>기준 대비</t>
        </is>
      </c>
      <c r="G16" s="25" t="inlineStr">
        <is>
          <t>변경 내용</t>
        </is>
      </c>
      <c r="H16" s="4" t="n"/>
    </row>
    <row r="17" ht="26" customHeight="1">
      <c r="A17" s="27" t="inlineStr">
        <is>
          <t>mock-v1</t>
        </is>
      </c>
      <c r="B17" s="27" t="inlineStr">
        <is>
          <t>~ 2026-08-05</t>
        </is>
      </c>
      <c r="C17" s="28" t="n">
        <v>12400</v>
      </c>
      <c r="D17" s="28" t="n">
        <v>11</v>
      </c>
      <c r="E17" s="29" t="n">
        <v>0.0008899999999999999</v>
      </c>
      <c r="F17" s="27" t="inlineStr">
        <is>
          <t>-0.21%p</t>
        </is>
      </c>
      <c r="G17" s="43" t="inlineStr">
        <is>
          <t>기준 레시피</t>
        </is>
      </c>
      <c r="H17" s="4" t="n"/>
    </row>
    <row r="18" ht="26" customHeight="1">
      <c r="A18" s="27" t="inlineStr">
        <is>
          <t>mock-v2</t>
        </is>
      </c>
      <c r="B18" s="27" t="inlineStr">
        <is>
          <t>08-05 ~ 08-16</t>
        </is>
      </c>
      <c r="C18" s="28" t="n">
        <v>9950</v>
      </c>
      <c r="D18" s="28" t="n">
        <v>9</v>
      </c>
      <c r="E18" s="29" t="n">
        <v>0.0009</v>
      </c>
      <c r="F18" s="27" t="inlineStr">
        <is>
          <t>-0.21%p</t>
        </is>
      </c>
      <c r="G18" s="43" t="inlineStr">
        <is>
          <t>픽업 속도 조정</t>
        </is>
      </c>
      <c r="H18" s="4" t="n"/>
    </row>
    <row r="19" ht="26" customHeight="1">
      <c r="A19" s="27" t="inlineStr">
        <is>
          <t>mock-v3</t>
        </is>
      </c>
      <c r="B19" s="27" t="inlineStr">
        <is>
          <t>08-16 ~ 현재</t>
        </is>
      </c>
      <c r="C19" s="28" t="n">
        <v>5030</v>
      </c>
      <c r="D19" s="28" t="n">
        <v>33</v>
      </c>
      <c r="E19" s="29" t="n">
        <v>0.00656</v>
      </c>
      <c r="F19" s="27" t="inlineStr">
        <is>
          <t>+0.36%p</t>
        </is>
      </c>
      <c r="G19" s="43" t="inlineStr">
        <is>
          <t>그리퍼 파지력 상향 · 배치 하강속도 상향 — 변경 직후 CRACK 급증</t>
        </is>
      </c>
      <c r="H19" s="4" t="n"/>
    </row>
    <row r="21" ht="17" customHeight="1">
      <c r="A21" s="38" t="inlineStr">
        <is>
          <t>C.  동일 부품 · 동일 유형 과거 대책서        [발행 시점 고정]</t>
        </is>
      </c>
    </row>
    <row r="22" ht="14" customHeight="1">
      <c r="A22" s="42" t="inlineStr">
        <is>
          <t>재발이면 이전 대책이 왜 듣지 않았는지부터 확인한다</t>
        </is>
      </c>
    </row>
    <row r="23" ht="17" customHeight="1">
      <c r="A23" s="25" t="inlineStr">
        <is>
          <t>문서번호</t>
        </is>
      </c>
      <c r="B23" s="25" t="inlineStr">
        <is>
          <t>집계 기간</t>
        </is>
      </c>
      <c r="C23" s="25" t="inlineStr">
        <is>
          <t>불량률</t>
        </is>
      </c>
      <c r="D23" s="25" t="inlineStr">
        <is>
          <t>상태</t>
        </is>
      </c>
      <c r="E23" s="25" t="inlineStr">
        <is>
          <t>적용 대책</t>
        </is>
      </c>
      <c r="F23" s="4" t="n"/>
      <c r="G23" s="25" t="inlineStr">
        <is>
          <t>당시 근본 원인</t>
        </is>
      </c>
      <c r="H23" s="4" t="n"/>
    </row>
    <row r="24" ht="34" customHeight="1">
      <c r="A24" s="44" t="inlineStr">
        <is>
          <t>QA-CAP-CRACK-20260412-001</t>
        </is>
      </c>
      <c r="B24" s="44" t="inlineStr">
        <is>
          <t>2026-04-05 ~ 04-12</t>
        </is>
      </c>
      <c r="C24" s="29" t="n">
        <v>0.0041</v>
      </c>
      <c r="D24" s="27" t="inlineStr">
        <is>
          <t>CLOSED</t>
        </is>
      </c>
      <c r="E24" s="43" t="inlineStr">
        <is>
          <t>mock-v1 / 04-15 적용</t>
        </is>
      </c>
      <c r="F24" s="4" t="n"/>
      <c r="G24" s="43" t="inlineStr">
        <is>
          <t>배치 하강속도 과다로 착지 충격. 속도 하향 후 0.09%로 회복.</t>
        </is>
      </c>
      <c r="H24" s="4" t="n"/>
    </row>
    <row r="26" ht="17" customHeight="1">
      <c r="A26" s="38" t="inlineStr">
        <is>
          <t>D.  품질 체크리스트        [조회 시점 참조 · 데이터시트 갱신 시 바뀜]</t>
        </is>
      </c>
    </row>
    <row r="27" ht="14" customHeight="1">
      <c r="A27" s="42" t="inlineStr">
        <is>
          <t>part_catalog.quality_checklists · 이 범주에서 무엇을 확인해야 하는지</t>
        </is>
      </c>
    </row>
    <row r="28" ht="17" customHeight="1">
      <c r="A28" s="25" t="inlineStr">
        <is>
          <t>구분</t>
        </is>
      </c>
      <c r="B28" s="25" t="inlineStr">
        <is>
          <t>확인 항목</t>
        </is>
      </c>
      <c r="C28" s="4" t="n"/>
      <c r="D28" s="4" t="n"/>
      <c r="E28" s="25" t="inlineStr">
        <is>
          <t>이상 시 조치</t>
        </is>
      </c>
      <c r="F28" s="4" t="n"/>
      <c r="G28" s="4" t="n"/>
      <c r="H28" s="4" t="n"/>
    </row>
    <row r="29" ht="40" customHeight="1">
      <c r="A29" s="44" t="inlineStr">
        <is>
          <t>입고 검사</t>
        </is>
      </c>
      <c r="B29" s="43" t="inlineStr">
        <is>
          <t>외관/단자, 0603·100V·X7R 확인, LCR·절연저항 샘플</t>
        </is>
      </c>
      <c r="C29" s="4" t="n"/>
      <c r="D29" s="4" t="n"/>
      <c r="E29" s="43" t="inlineStr">
        <is>
          <t>크랙/IR 저하는 Lot·패널 위치별 격리, 보드 굴곡·분리·프로브 지지 조건을 재현하고 공정 조건 수정</t>
        </is>
      </c>
      <c r="F29" s="4" t="n"/>
      <c r="G29" s="4" t="n"/>
      <c r="H29" s="4" t="n"/>
    </row>
    <row r="30" ht="40" customHeight="1">
      <c r="A30" s="44" t="inlineStr">
        <is>
          <t>조립·보관</t>
        </is>
      </c>
      <c r="B30" s="43" t="inlineStr">
        <is>
          <t>land/reflow 준수; panel depanel·ICT probe·connector 체결 시 board support로 보드 굽힘 억제</t>
        </is>
      </c>
      <c r="C30" s="4" t="n"/>
      <c r="D30" s="4" t="n"/>
      <c r="E30" s="43" t="inlineStr"/>
      <c r="F30" s="4" t="n"/>
      <c r="G30" s="4" t="n"/>
      <c r="H30" s="4" t="n"/>
    </row>
    <row r="31" ht="40" customHeight="1">
      <c r="A31" s="44" t="inlineStr">
        <is>
          <t>기능·신뢰성</t>
        </is>
      </c>
      <c r="B31" s="43" t="inlineStr">
        <is>
          <t>AOI, LCR/IR; crack 의심 Lot 단면 또는 비파괴 검사</t>
        </is>
      </c>
      <c r="C31" s="4" t="n"/>
      <c r="D31" s="4" t="n"/>
      <c r="E31" s="43" t="inlineStr"/>
      <c r="F31" s="4" t="n"/>
      <c r="G31" s="4" t="n"/>
      <c r="H31" s="4" t="n"/>
    </row>
  </sheetData>
  <mergeCells count="33">
    <mergeCell ref="G12:H12"/>
    <mergeCell ref="A15:H15"/>
    <mergeCell ref="E24:F24"/>
    <mergeCell ref="G11:H11"/>
    <mergeCell ref="E23:F23"/>
    <mergeCell ref="G23:H23"/>
    <mergeCell ref="A1:H1"/>
    <mergeCell ref="G8:H8"/>
    <mergeCell ref="B29:D29"/>
    <mergeCell ref="G17:H17"/>
    <mergeCell ref="A6:H6"/>
    <mergeCell ref="B28:D28"/>
    <mergeCell ref="G7:H7"/>
    <mergeCell ref="G10:H10"/>
    <mergeCell ref="G19:H19"/>
    <mergeCell ref="B30:D30"/>
    <mergeCell ref="G18:H18"/>
    <mergeCell ref="A27:H27"/>
    <mergeCell ref="A3:H3"/>
    <mergeCell ref="A21:H21"/>
    <mergeCell ref="A26:H26"/>
    <mergeCell ref="G24:H24"/>
    <mergeCell ref="A2:H2"/>
    <mergeCell ref="E29:H29"/>
    <mergeCell ref="A14:H14"/>
    <mergeCell ref="A5:H5"/>
    <mergeCell ref="E28:H28"/>
    <mergeCell ref="A22:H22"/>
    <mergeCell ref="E31:H31"/>
    <mergeCell ref="B31:D31"/>
    <mergeCell ref="G16:H16"/>
    <mergeCell ref="E30:H30"/>
    <mergeCell ref="G9:H9"/>
  </mergeCells>
  <pageMargins left="0.35" right="0.35" top="0.45" bottom="0.45" header="0.2" footer="0.2"/>
  <pageSetup orientation="landscape" paperSize="9" fitToHeight="0" fitToWidth="1"/>
  <rowBreaks count="1" manualBreakCount="1">
    <brk id="2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26" customWidth="1" min="4" max="4"/>
    <col width="14" customWidth="1" min="5" max="5"/>
    <col width="22" customWidth="1" min="6" max="6"/>
    <col width="29" customWidth="1" min="7" max="7"/>
    <col width="13" customWidth="1" min="8" max="8"/>
  </cols>
  <sheetData>
    <row r="1" ht="20" customHeight="1">
      <c r="A1" s="36" t="inlineStr">
        <is>
          <t>대체품 후보        [조회 시점 참조]</t>
        </is>
      </c>
    </row>
    <row r="2" ht="15" customHeight="1">
      <c r="A2" s="37" t="inlineStr">
        <is>
          <t>불량유형이 CRACK일 때만 첨부된다 · MISSING · POSITION_ERROR · ORIENTATION_ERROR는 조립 불량이므로 대체품이 대책이 되지 않는다</t>
        </is>
      </c>
    </row>
    <row r="3" ht="26" customHeight="1">
      <c r="A3" s="45" t="inlineStr">
        <is>
          <t>동일 정격만으로 drop-in 판단 금지 · 「필수 재검증」을 모두 통과하고 변경 승인이 완료된 뒤에만 적용한다.</t>
        </is>
      </c>
    </row>
    <row r="4" ht="15" customHeight="1">
      <c r="A4" s="46" t="inlineStr">
        <is>
          <t>조회 시각 2026-08-19 09:00:00   ·   데이터시트 semiconductor_assembly_quality_datasheet_2026-08-13.xlsx (기준일 2026-08-13)   ·   Group ID C-001 (캐패시터)   ·   후보 5종</t>
        </is>
      </c>
    </row>
    <row r="6" ht="26" customHeight="1">
      <c r="A6" s="47" t="inlineStr">
        <is>
          <t>역할</t>
        </is>
      </c>
      <c r="B6" s="47" t="inlineStr">
        <is>
          <t>대체코드</t>
        </is>
      </c>
      <c r="C6" s="47" t="inlineStr">
        <is>
          <t>제조사 / P/N</t>
        </is>
      </c>
      <c r="D6" s="47" t="inlineStr">
        <is>
          <t>핵심 사양·용도</t>
        </is>
      </c>
      <c r="E6" s="47" t="inlineStr">
        <is>
          <t>상호호환 상태</t>
        </is>
      </c>
      <c r="F6" s="47" t="inlineStr">
        <is>
          <t>필수 재검증</t>
        </is>
      </c>
      <c r="G6" s="47" t="inlineStr">
        <is>
          <t>CRACK 관련 소견</t>
        </is>
      </c>
      <c r="H6" s="47" t="inlineStr">
        <is>
          <t>Source · 확인일</t>
        </is>
      </c>
    </row>
    <row r="7" ht="42" customHeight="1">
      <c r="A7" s="48" t="inlineStr">
        <is>
          <t>주품목</t>
        </is>
      </c>
      <c r="B7" s="48" t="inlineStr">
        <is>
          <t>—</t>
        </is>
      </c>
      <c r="C7" s="49" t="inlineStr">
        <is>
          <t>Murata Manufacturing / GRM188R72A104KA35D</t>
        </is>
      </c>
      <c r="D7" s="49" t="inlineStr">
        <is>
          <t>MLCC / 0.10µF ±10%, 100V, X7R, 0603</t>
        </is>
      </c>
      <c r="E7" s="48" t="inlineStr">
        <is>
          <t>승인 주품목</t>
        </is>
      </c>
      <c r="F7" s="49" t="inlineStr">
        <is>
          <t>해당 없음</t>
        </is>
      </c>
      <c r="G7" s="49" t="inlineStr">
        <is>
          <t>현재 CRACK 발생 중 · 표준 단자 구조</t>
        </is>
      </c>
      <c r="H7" s="49" t="inlineStr">
        <is>
          <t>S-01 · 2026-08-14</t>
        </is>
      </c>
    </row>
    <row r="8" ht="42" customHeight="1">
      <c r="A8" s="44" t="inlineStr">
        <is>
          <t>대체 후보</t>
        </is>
      </c>
      <c r="B8" s="44" t="inlineStr">
        <is>
          <t>ALT-01</t>
        </is>
      </c>
      <c r="C8" s="50" t="inlineStr">
        <is>
          <t>KEMET / C0603C104K1RACTU</t>
        </is>
      </c>
      <c r="D8" s="50" t="inlineStr">
        <is>
          <t>MLCC / 0.10µF ±10%, 100V, X7R, 0603</t>
        </is>
      </c>
      <c r="E8" s="44" t="inlineStr">
        <is>
          <t>동급 후보</t>
        </is>
      </c>
      <c r="F8" s="50" t="inlineStr">
        <is>
          <t>두께·단자·DC-bias·IR·land/reflow</t>
        </is>
      </c>
      <c r="G8" s="51" t="inlineStr">
        <is>
          <t>두께 0.87mm — 주품목 0.80mm보다 두꺼워 굽힘 응력 증가 가능</t>
        </is>
      </c>
      <c r="H8" s="50" t="inlineStr">
        <is>
          <t>S-02 · 2026-08-19</t>
        </is>
      </c>
    </row>
    <row r="9" ht="42" customHeight="1">
      <c r="A9" s="44" t="inlineStr">
        <is>
          <t>대체 후보</t>
        </is>
      </c>
      <c r="B9" s="44" t="inlineStr">
        <is>
          <t>ALT-02</t>
        </is>
      </c>
      <c r="C9" s="50" t="inlineStr">
        <is>
          <t>YAGEO / CC0603KRX7R0BB104</t>
        </is>
      </c>
      <c r="D9" s="50" t="inlineStr">
        <is>
          <t>MLCC / 0.10µF ±10%, 100V, X7R, 0603</t>
        </is>
      </c>
      <c r="E9" s="44" t="inlineStr">
        <is>
          <t>동급 후보</t>
        </is>
      </c>
      <c r="F9" s="50" t="inlineStr">
        <is>
          <t>두께·단자·DC-bias·IR·land/reflow</t>
        </is>
      </c>
      <c r="G9" s="50" t="inlineStr">
        <is>
          <t>표준 단자 구조 — 굽힘 크랙 개선 근거 없음</t>
        </is>
      </c>
      <c r="H9" s="50" t="inlineStr">
        <is>
          <t>S-03 · 2026-08-19</t>
        </is>
      </c>
    </row>
    <row r="10" ht="42" customHeight="1">
      <c r="A10" s="44" t="inlineStr">
        <is>
          <t>대체 후보</t>
        </is>
      </c>
      <c r="B10" s="44" t="inlineStr">
        <is>
          <t>ALT-03</t>
        </is>
      </c>
      <c r="C10" s="50" t="inlineStr">
        <is>
          <t>TDK / C1608X7R2A104K080AA</t>
        </is>
      </c>
      <c r="D10" s="50" t="inlineStr">
        <is>
          <t>MLCC / 0.10µF ±10%, 100V, X7R, 0603</t>
        </is>
      </c>
      <c r="E10" s="44" t="inlineStr">
        <is>
          <t>동급 후보</t>
        </is>
      </c>
      <c r="F10" s="50" t="inlineStr">
        <is>
          <t>두께·단자·DC-bias·IR·land/reflow</t>
        </is>
      </c>
      <c r="G10" s="51" t="inlineStr">
        <is>
          <t>flexible termination 아님 — 굽힘 크랙 대책으로 부적합</t>
        </is>
      </c>
      <c r="H10" s="50" t="inlineStr">
        <is>
          <t>S-04 · 2026-08-19</t>
        </is>
      </c>
    </row>
    <row r="11" ht="42" customHeight="1">
      <c r="A11" s="44" t="inlineStr">
        <is>
          <t>대체 후보</t>
        </is>
      </c>
      <c r="B11" s="44" t="inlineStr">
        <is>
          <t>ALT-04</t>
        </is>
      </c>
      <c r="C11" s="50" t="inlineStr">
        <is>
          <t>Murata Manufacturing / GCM188R72A104KA64D</t>
        </is>
      </c>
      <c r="D11" s="50" t="inlineStr">
        <is>
          <t>MLCC / 0.10µF ±10%, 100V, X7R, 0603 · soft termination</t>
        </is>
      </c>
      <c r="E11" s="44" t="inlineStr">
        <is>
          <t>동급 후보</t>
        </is>
      </c>
      <c r="F11" s="50" t="inlineStr">
        <is>
          <t>두께·단자·DC-bias·IR·land/reflow</t>
        </is>
      </c>
      <c r="G11" s="52" t="inlineStr">
        <is>
          <t>soft termination — 보드 굽힘 크랙에 유리 · 부품 원인 확정 시 우선 검토</t>
        </is>
      </c>
      <c r="H11" s="50" t="inlineStr">
        <is>
          <t>S-05 · 2026-08-19</t>
        </is>
      </c>
    </row>
    <row r="13">
      <c r="A13" s="53" t="inlineStr">
        <is>
          <t>단가·MOQ·재고·리드타임·공급사는 이 문서에 싣지 않는다. 조회 시점에 이미 상하는 값이고 품질 담당자의 결정 변수가 아니다 → GET /parts/{part_id} 또는 구매 담당</t>
        </is>
      </c>
    </row>
  </sheetData>
  <autoFilter ref="A6:H11"/>
  <mergeCells count="5">
    <mergeCell ref="A4:H4"/>
    <mergeCell ref="A3:H3"/>
    <mergeCell ref="A2:H2"/>
    <mergeCell ref="A13:H13"/>
    <mergeCell ref="A1:H1"/>
  </mergeCells>
  <pageMargins left="0.35" right="0.35" top="0.45" bottom="0.4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2026-08-21T08:28:10Z</dcterms:created>
  <dcterms:modified xsi:type="dcterms:W3CDTF">2026-08-21T08:28:10Z</dcterms:modified>
</cp:coreProperties>
</file>