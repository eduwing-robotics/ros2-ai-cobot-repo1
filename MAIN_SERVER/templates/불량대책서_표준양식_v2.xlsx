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책서" sheetId="1" state="visible" r:id="rId1"/>
    <sheet xmlns:r="http://schemas.openxmlformats.org/officeDocument/2006/relationships" name="불량 근거" sheetId="2" state="visible" r:id="rId2"/>
    <sheet xmlns:r="http://schemas.openxmlformats.org/officeDocument/2006/relationships" name="부품 검토자료" sheetId="3" state="visible" r:id="rId3"/>
  </sheets>
  <definedNames>
    <definedName name="reply_containment_scope">'대책서'!$C$18</definedName>
    <definedName name="reply_containment">'대책서'!$C$19</definedName>
    <definedName name="reply_root_cause_label">'대책서'!$C$20</definedName>
    <definedName name="reply_root_cause">'대책서'!$C$21</definedName>
    <definedName name="reply_escape_cause">'대책서'!$C$22</definedName>
    <definedName name="reply_prevention">'대책서'!$C$23</definedName>
    <definedName name="reply_verify_period">'대책서'!$C$25</definedName>
    <definedName name="reply_verify_recipe">'대책서'!$E$25</definedName>
    <definedName name="reply_verify_inspected">'대책서'!$G$25</definedName>
    <definedName name="reply_verify_defective">'대책서'!$I$25</definedName>
    <definedName name="reply_verify_status">'대책서'!$K$25</definedName>
    <definedName name="reply_verify_note">'대책서'!$C$27</definedName>
    <definedName name="reply_closed_at">'대책서'!$E$28</definedName>
    <definedName name="reply_closure_note">'대책서'!$C$29</definedName>
    <definedName name="_xlnm.Print_Area" localSheetId="0">'대책서'!$A$1:$L$30</definedName>
    <definedName name="_xlnm.Print_Area" localSheetId="1">'불량 근거'!$A$1:$E$18</definedName>
    <definedName name="_xlnm.Print_Area" localSheetId="2">'부품 검토자료'!$A$1:$F$21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2">
    <numFmt numFmtId="164" formatCode="0.0&quot;배&quot;"/>
    <numFmt numFmtId="165" formatCode="0.000%"/>
  </numFmts>
  <fonts count="55">
    <font>
      <name val="Calibri"/>
      <family val="2"/>
      <color theme="1"/>
      <sz val="11"/>
      <scheme val="minor"/>
    </font>
    <font>
      <name val="맑은 고딕"/>
      <b val="1"/>
      <color rgb="00262626"/>
      <sz val="8"/>
    </font>
    <font>
      <name val="맑은 고딕"/>
      <b val="1"/>
      <color rgb="00262626"/>
      <sz val="18"/>
    </font>
    <font>
      <name val="맑은 고딕"/>
      <b val="1"/>
      <color rgb="00262626"/>
      <sz val="9"/>
    </font>
    <font>
      <name val="맑은 고딕"/>
      <color rgb="00262626"/>
      <sz val="9"/>
    </font>
    <font>
      <name val="맑은 고딕"/>
      <b val="1"/>
      <color rgb="00FFFFFF"/>
      <sz val="9"/>
    </font>
    <font>
      <name val="맑은 고딕"/>
      <b val="1"/>
      <color rgb="00808080"/>
      <sz val="7.5"/>
    </font>
    <font>
      <name val="맑은 고딕"/>
      <color rgb="00262626"/>
      <sz val="10.5"/>
    </font>
    <font>
      <name val="맑은 고딕"/>
      <b val="1"/>
      <color rgb="009C2A2A"/>
      <sz val="12"/>
    </font>
    <font>
      <name val="맑은 고딕"/>
      <b val="1"/>
      <color rgb="00262626"/>
      <sz val="8.5"/>
    </font>
    <font>
      <name val="맑은 고딕"/>
      <color rgb="00262626"/>
      <sz val="8"/>
    </font>
    <font>
      <name val="맑은 고딕"/>
      <b val="1"/>
      <color rgb="001F3864"/>
      <sz val="9"/>
    </font>
    <font>
      <name val="맑은 고딕"/>
      <color rgb="001F3864"/>
      <sz val="8"/>
    </font>
    <font>
      <name val="맑은 고딕"/>
      <b val="1"/>
      <color rgb="00808080"/>
      <sz val="8"/>
    </font>
    <font>
      <name val="맑은 고딕"/>
      <color rgb="00808080"/>
      <sz val="7.5"/>
    </font>
    <font>
      <name val="맑은 고딕"/>
      <color rgb="00595959"/>
      <sz val="7.5"/>
    </font>
    <font>
      <name val="맑은 고딕"/>
      <b val="1"/>
      <color rgb="00262626"/>
      <sz val="7.5"/>
    </font>
    <font>
      <name val="맑은 고딕"/>
      <b val="1"/>
      <color rgb="001F3864"/>
      <sz val="8"/>
    </font>
    <font>
      <name val="맑은 고딕"/>
      <b val="1"/>
      <color rgb="009C2A2A"/>
      <sz val="8"/>
    </font>
    <font>
      <name val="맑은 고딕"/>
      <color rgb="00263445"/>
      <sz val="10.5"/>
    </font>
    <font>
      <name val="맑은 고딕"/>
      <b val="1"/>
      <color rgb="001F3864"/>
      <sz val="22"/>
    </font>
    <font>
      <name val="맑은 고딕"/>
      <b val="1"/>
      <color rgb="001F3864"/>
      <sz val="11"/>
    </font>
    <font>
      <name val="맑은 고딕"/>
      <color rgb="00627083"/>
      <sz val="9"/>
    </font>
    <font>
      <name val="맑은 고딕"/>
      <b val="1"/>
      <color rgb="00263445"/>
      <sz val="10"/>
    </font>
    <font>
      <name val="맑은 고딕"/>
      <b val="1"/>
      <color rgb="001F3864"/>
      <sz val="10"/>
    </font>
    <font>
      <name val="맑은 고딕"/>
      <color rgb="00263445"/>
      <sz val="10"/>
    </font>
    <font>
      <name val="맑은 고딕"/>
      <b val="1"/>
      <color rgb="00FFFFFF"/>
      <sz val="11"/>
    </font>
    <font>
      <name val="맑은 고딕"/>
      <b val="1"/>
      <color rgb="001F3864"/>
      <sz val="17"/>
    </font>
    <font>
      <name val="맑은 고딕"/>
      <color rgb="00263445"/>
      <sz val="9.5"/>
    </font>
    <font>
      <name val="맑은 고딕"/>
      <b val="1"/>
      <color rgb="00263445"/>
      <sz val="10.5"/>
    </font>
    <font>
      <name val="맑은 고딕"/>
      <color rgb="00627083"/>
      <sz val="8.5"/>
    </font>
    <font>
      <name val="맑은 고딕"/>
      <b val="1"/>
      <color rgb="001F3864"/>
      <sz val="10.5"/>
    </font>
    <font>
      <name val="맑은 고딕"/>
      <color rgb="00627083"/>
      <sz val="8"/>
    </font>
    <font>
      <name val="맑은 고딕"/>
      <color rgb="00263445"/>
      <sz val="9"/>
    </font>
    <font>
      <name val="맑은 고딕"/>
      <b val="1"/>
      <color rgb="00FFFFFF"/>
      <sz val="10"/>
    </font>
    <font>
      <name val="맑은 고딕"/>
      <color rgb="00808080"/>
      <sz val="10"/>
    </font>
    <font>
      <name val="맑은 고딕"/>
      <b val="1"/>
      <color rgb="00262626"/>
      <sz val="10"/>
    </font>
    <font>
      <name val="맑은 고딕"/>
      <color rgb="00262626"/>
      <sz val="10"/>
    </font>
    <font>
      <name val="맑은 고딕"/>
      <b val="1"/>
      <color rgb="001F3864"/>
      <sz val="18"/>
    </font>
    <font>
      <name val="맑은 고딕"/>
      <b val="1"/>
      <color rgb="001F3864"/>
      <sz val="20"/>
    </font>
    <font>
      <name val="맑은 고딕"/>
      <color rgb="00627083"/>
      <sz val="9.5"/>
    </font>
    <font>
      <name val="맑은 고딕"/>
      <b val="1"/>
      <color rgb="0080601B"/>
      <sz val="10"/>
    </font>
    <font>
      <name val="맑은 고딕"/>
      <b val="1"/>
      <color rgb="00243D5B"/>
      <sz val="22"/>
    </font>
    <font>
      <name val="맑은 고딕"/>
      <color rgb="00262626"/>
      <sz val="9.5"/>
    </font>
    <font>
      <name val="맑은 고딕"/>
      <b val="1"/>
      <color rgb="00243D5B"/>
      <sz val="9"/>
    </font>
    <font>
      <name val="맑은 고딕"/>
      <b val="1"/>
      <color rgb="00262626"/>
      <sz val="13"/>
    </font>
    <font>
      <name val="맑은 고딕"/>
      <b val="1"/>
      <color rgb="00243D5B"/>
      <sz val="10"/>
    </font>
    <font>
      <name val="맑은 고딕"/>
      <color rgb="00262626"/>
      <sz val="8.5"/>
    </font>
    <font>
      <name val="맑은 고딕"/>
      <b val="1"/>
      <color rgb="00262626"/>
      <sz val="9.5"/>
    </font>
    <font>
      <name val="맑은 고딕"/>
      <color rgb="0069727D"/>
      <sz val="8.5"/>
    </font>
    <font>
      <name val="맑은 고딕"/>
      <color rgb="0069727D"/>
      <sz val="8"/>
    </font>
    <font>
      <name val="맑은 고딕"/>
      <color rgb="00516276"/>
      <sz val="8"/>
    </font>
    <font>
      <name val="맑은 고딕"/>
      <color rgb="0069727D"/>
      <sz val="7.5"/>
    </font>
    <font>
      <name val="맑은 고딕"/>
      <b val="1"/>
      <color rgb="00243D5B"/>
      <sz val="17"/>
    </font>
    <font>
      <name val="맑은 고딕"/>
      <b val="1"/>
      <color rgb="00243D5B"/>
      <sz val="14"/>
    </font>
  </fonts>
  <fills count="1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3864"/>
      </patternFill>
    </fill>
    <fill>
      <patternFill patternType="solid">
        <fgColor rgb="00404040"/>
      </patternFill>
    </fill>
    <fill>
      <patternFill patternType="solid">
        <fgColor rgb="00FCE9E9"/>
      </patternFill>
    </fill>
    <fill>
      <patternFill patternType="solid">
        <fgColor rgb="00DDE6F3"/>
      </patternFill>
    </fill>
    <fill>
      <patternFill patternType="solid">
        <fgColor rgb="00EEF3FA"/>
      </patternFill>
    </fill>
    <fill>
      <patternFill patternType="solid">
        <fgColor rgb="00FFFBF0"/>
      </patternFill>
    </fill>
    <fill>
      <patternFill patternType="solid">
        <fgColor rgb="00DCE3EF"/>
      </patternFill>
    </fill>
    <fill>
      <patternFill patternType="solid">
        <fgColor rgb="00FFFFFF"/>
      </patternFill>
    </fill>
    <fill>
      <patternFill patternType="solid">
        <fgColor rgb="00FFF6D9"/>
      </patternFill>
    </fill>
    <fill>
      <patternFill patternType="solid">
        <fgColor rgb="00EDF2F8"/>
      </patternFill>
    </fill>
    <fill>
      <patternFill patternType="solid">
        <fgColor rgb="00FFF4D7"/>
      </patternFill>
    </fill>
    <fill>
      <patternFill patternType="solid">
        <fgColor rgb="00F5F7FA"/>
      </patternFill>
    </fill>
    <fill>
      <patternFill patternType="solid">
        <fgColor rgb="00F2F3F5"/>
      </patternFill>
    </fill>
  </fills>
  <borders count="3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/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  <border>
      <left/>
      <right/>
      <top style="thin">
        <color rgb="00A6A6A6"/>
      </top>
      <bottom style="thin">
        <color rgb="00A6A6A6"/>
      </bottom>
      <diagonal/>
    </border>
    <border>
      <left style="thin">
        <color rgb="00A6A6A6"/>
      </left>
      <right/>
      <top/>
      <bottom/>
      <diagonal/>
    </border>
    <border>
      <left/>
      <right style="thin">
        <color rgb="00A6A6A6"/>
      </right>
      <top/>
      <bottom/>
      <diagonal/>
    </border>
    <border>
      <left style="thin">
        <color rgb="00A6A6A6"/>
      </left>
      <right/>
      <top/>
      <bottom style="thin">
        <color rgb="00A6A6A6"/>
      </bottom>
      <diagonal/>
    </border>
    <border>
      <left/>
      <right/>
      <top/>
      <bottom style="thin">
        <color rgb="00A6A6A6"/>
      </bottom>
      <diagonal/>
    </border>
    <border>
      <left/>
      <right style="thin">
        <color rgb="00A6A6A6"/>
      </right>
      <top/>
      <bottom style="thin">
        <color rgb="00A6A6A6"/>
      </bottom>
      <diagonal/>
    </border>
    <border>
      <left style="thin">
        <color rgb="00A6A6A6"/>
      </left>
      <right style="thin">
        <color rgb="00A6A6A6"/>
      </right>
      <top/>
      <bottom/>
      <diagonal/>
    </border>
    <border>
      <left style="thin">
        <color rgb="00A6A6A6"/>
      </left>
      <right style="thin">
        <color rgb="00A6A6A6"/>
      </right>
      <top/>
      <bottom style="thin">
        <color rgb="00A6A6A6"/>
      </bottom>
      <diagonal/>
    </border>
    <border>
      <left style="thin">
        <color rgb="00BCC3CC"/>
      </left>
      <right/>
      <top style="thin">
        <color rgb="00BCC3CC"/>
      </top>
      <bottom style="thin">
        <color rgb="00BCC3CC"/>
      </bottom>
    </border>
    <border>
      <left/>
      <right style="thin">
        <color rgb="00BCC3CC"/>
      </right>
      <top style="thin">
        <color rgb="00BCC3CC"/>
      </top>
      <bottom style="thin">
        <color rgb="00BCC3CC"/>
      </bottom>
    </border>
    <border>
      <left style="thin">
        <color rgb="00BCC3CC"/>
      </left>
      <right/>
      <top style="thin">
        <color rgb="00BCC3CC"/>
      </top>
      <bottom/>
    </border>
    <border>
      <left/>
      <right style="thin">
        <color rgb="00BCC3CC"/>
      </right>
      <top style="thin">
        <color rgb="00BCC3CC"/>
      </top>
      <bottom/>
    </border>
    <border>
      <left style="thin">
        <color rgb="00BCC3CC"/>
      </left>
      <right/>
      <top/>
      <bottom style="thin">
        <color rgb="00BCC3CC"/>
      </bottom>
    </border>
    <border>
      <left/>
      <right style="thin">
        <color rgb="00BCC3CC"/>
      </right>
      <top/>
      <bottom style="thin">
        <color rgb="00BCC3CC"/>
      </bottom>
    </border>
    <border>
      <left/>
      <right/>
      <top style="thin">
        <color rgb="00BCC3CC"/>
      </top>
      <bottom style="thin">
        <color rgb="00BCC3CC"/>
      </bottom>
    </border>
    <border>
      <left style="thin">
        <color rgb="00BCC3CC"/>
      </left>
      <right/>
      <top/>
      <bottom/>
    </border>
    <border>
      <left/>
      <right style="thin">
        <color rgb="00BCC3CC"/>
      </right>
      <top/>
      <bottom/>
    </border>
    <border>
      <left style="thin">
        <color rgb="00BCC3CC"/>
      </left>
      <right style="thin">
        <color rgb="00BCC3CC"/>
      </right>
      <top style="thin">
        <color rgb="00BCC3CC"/>
      </top>
      <bottom style="thin">
        <color rgb="00BCC3CC"/>
      </bottom>
    </border>
    <border>
      <left/>
      <right/>
      <top style="thin">
        <color rgb="00BCC3CC"/>
      </top>
      <bottom/>
      <diagonal/>
    </border>
    <border>
      <left/>
      <right style="thin">
        <color rgb="00BCC3CC"/>
      </right>
      <top style="thin">
        <color rgb="00BCC3CC"/>
      </top>
      <bottom/>
      <diagonal/>
    </border>
    <border>
      <left/>
      <right/>
      <top style="thin">
        <color rgb="00BCC3CC"/>
      </top>
      <bottom style="thin">
        <color rgb="00BCC3CC"/>
      </bottom>
      <diagonal/>
    </border>
    <border>
      <left/>
      <right style="thin">
        <color rgb="00BCC3CC"/>
      </right>
      <top style="thin">
        <color rgb="00BCC3CC"/>
      </top>
      <bottom style="thin">
        <color rgb="00BCC3CC"/>
      </bottom>
      <diagonal/>
    </border>
    <border>
      <left style="thin">
        <color rgb="00BCC3CC"/>
      </left>
      <right/>
      <top/>
      <bottom/>
      <diagonal/>
    </border>
    <border>
      <left/>
      <right style="thin">
        <color rgb="00BCC3CC"/>
      </right>
      <top/>
      <bottom/>
      <diagonal/>
    </border>
    <border>
      <left style="thin">
        <color rgb="00BCC3CC"/>
      </left>
      <right/>
      <top/>
      <bottom style="thin">
        <color rgb="00BCC3CC"/>
      </bottom>
      <diagonal/>
    </border>
    <border>
      <left/>
      <right style="thin">
        <color rgb="00BCC3CC"/>
      </right>
      <top/>
      <bottom style="thin">
        <color rgb="00BCC3CC"/>
      </bottom>
      <diagonal/>
    </border>
  </borders>
  <cellStyleXfs count="1">
    <xf numFmtId="0" fontId="0" fillId="0" borderId="0"/>
  </cellStyleXfs>
  <cellXfs count="1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center" wrapText="1" indent="1"/>
    </xf>
    <xf numFmtId="0" fontId="0" fillId="3" borderId="1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 indent="1"/>
    </xf>
    <xf numFmtId="0" fontId="6" fillId="2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wrapText="1" indent="1"/>
    </xf>
    <xf numFmtId="0" fontId="11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top" wrapText="1" indent="1"/>
    </xf>
    <xf numFmtId="0" fontId="13" fillId="8" borderId="1" applyAlignment="1" applyProtection="1" pivotButton="0" quotePrefix="0" xfId="0">
      <alignment horizontal="left" vertical="center" indent="1"/>
      <protection locked="0" hidden="0"/>
    </xf>
    <xf numFmtId="0" fontId="10" fillId="8" borderId="1" applyAlignment="1" applyProtection="1" pivotButton="0" quotePrefix="0" xfId="0">
      <alignment horizontal="left" vertical="top" wrapText="1" indent="1"/>
      <protection locked="0" hidden="0"/>
    </xf>
    <xf numFmtId="0" fontId="1" fillId="8" borderId="1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center" vertical="center"/>
    </xf>
    <xf numFmtId="0" fontId="15" fillId="0" borderId="2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center" vertical="center"/>
      <protection locked="0" hidden="0"/>
    </xf>
    <xf numFmtId="3" fontId="4" fillId="8" borderId="1" applyAlignment="1" applyProtection="1" pivotButton="0" quotePrefix="0" xfId="0">
      <alignment horizontal="center" vertical="center"/>
      <protection locked="0" hidden="0"/>
    </xf>
    <xf numFmtId="165" fontId="4" fillId="0" borderId="1" applyAlignment="1" pivotButton="0" quotePrefix="0" xfId="0">
      <alignment horizontal="center" vertical="center"/>
    </xf>
    <xf numFmtId="0" fontId="14" fillId="0" borderId="2" applyAlignment="1" pivotButton="0" quotePrefix="0" xfId="0">
      <alignment horizontal="left" vertical="center" wrapText="1" indent="1"/>
    </xf>
    <xf numFmtId="0" fontId="3" fillId="9" borderId="1" applyAlignment="1" pivotButton="0" quotePrefix="0" xfId="0">
      <alignment horizontal="left" vertical="center" indent="1"/>
    </xf>
    <xf numFmtId="0" fontId="16" fillId="9" borderId="1" applyAlignment="1" pivotButton="0" quotePrefix="0" xfId="0">
      <alignment horizontal="center" vertical="center" wrapText="1"/>
    </xf>
    <xf numFmtId="0" fontId="0" fillId="0" borderId="5" pivotButton="0" quotePrefix="0" xfId="0"/>
    <xf numFmtId="3" fontId="4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indent="1"/>
    </xf>
    <xf numFmtId="0" fontId="14" fillId="0" borderId="1" applyAlignment="1" pivotButton="0" quotePrefix="0" xfId="0">
      <alignment horizontal="left" vertical="center" wrapText="1" indent="1"/>
    </xf>
    <xf numFmtId="0" fontId="4" fillId="10" borderId="1" applyAlignment="1" pivotButton="0" quotePrefix="0" xfId="0">
      <alignment horizontal="center" vertical="center"/>
    </xf>
    <xf numFmtId="0" fontId="17" fillId="2" borderId="1" applyAlignment="1" pivotButton="0" quotePrefix="0" xfId="0">
      <alignment horizontal="left" vertical="center" indent="1"/>
    </xf>
    <xf numFmtId="0" fontId="0" fillId="0" borderId="6" pivotButton="0" quotePrefix="0" xfId="0"/>
    <xf numFmtId="0" fontId="1" fillId="2" borderId="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left" vertical="top" wrapText="1" indent="1"/>
    </xf>
    <xf numFmtId="0" fontId="1" fillId="11" borderId="1" applyAlignment="1" pivotButton="0" quotePrefix="0" xfId="0">
      <alignment horizontal="left" vertical="top" wrapText="1" indent="1"/>
    </xf>
    <xf numFmtId="0" fontId="1" fillId="11" borderId="1" applyAlignment="1" pivotButton="0" quotePrefix="0" xfId="0">
      <alignment horizontal="right" vertical="top" wrapText="1" indent="1"/>
    </xf>
    <xf numFmtId="0" fontId="18" fillId="5" borderId="1" applyAlignment="1" pivotButton="0" quotePrefix="0" xfId="0">
      <alignment horizontal="left" vertical="center" wrapText="1" indent="1"/>
    </xf>
    <xf numFmtId="0" fontId="10" fillId="0" borderId="1" applyAlignment="1" pivotButton="0" quotePrefix="0" xfId="0">
      <alignment horizontal="right" vertical="top" wrapText="1" indent="1"/>
    </xf>
    <xf numFmtId="0" fontId="14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1" fillId="12" borderId="0" applyAlignment="1" pivotButton="0" quotePrefix="0" xfId="0">
      <alignment horizontal="center" vertical="center" wrapText="1"/>
    </xf>
    <xf numFmtId="0" fontId="0" fillId="12" borderId="0" pivotButton="0" quotePrefix="0" xfId="0"/>
    <xf numFmtId="0" fontId="22" fillId="0" borderId="0" applyAlignment="1" pivotButton="0" quotePrefix="0" xfId="0">
      <alignment horizontal="left" vertical="center" wrapText="1" indent="1"/>
    </xf>
    <xf numFmtId="0" fontId="23" fillId="0" borderId="0" applyAlignment="1" pivotButton="0" quotePrefix="0" xfId="0">
      <alignment horizontal="right" vertical="center" wrapText="1"/>
    </xf>
    <xf numFmtId="0" fontId="24" fillId="12" borderId="0" applyAlignment="1" pivotButton="0" quotePrefix="0" xfId="0">
      <alignment horizontal="left" vertical="center" wrapText="1" indent="1"/>
    </xf>
    <xf numFmtId="0" fontId="19" fillId="0" borderId="0" applyAlignment="1" pivotButton="0" quotePrefix="0" xfId="0">
      <alignment horizontal="left" vertical="center" wrapText="1" indent="1"/>
    </xf>
    <xf numFmtId="0" fontId="25" fillId="0" borderId="0" applyAlignment="1" pivotButton="0" quotePrefix="0" xfId="0">
      <alignment horizontal="left" vertical="center" wrapText="1" indent="1"/>
    </xf>
    <xf numFmtId="0" fontId="19" fillId="0" borderId="0" applyAlignment="1" pivotButton="0" quotePrefix="0" xfId="0">
      <alignment vertical="center" wrapText="1"/>
    </xf>
    <xf numFmtId="0" fontId="26" fillId="3" borderId="0" applyAlignment="1" pivotButton="0" quotePrefix="0" xfId="0">
      <alignment horizontal="left" vertical="center" wrapText="1" indent="1"/>
    </xf>
    <xf numFmtId="0" fontId="0" fillId="3" borderId="0" pivotButton="0" quotePrefix="0" xfId="0"/>
    <xf numFmtId="3" fontId="27" fillId="12" borderId="0" applyAlignment="1" pivotButton="0" quotePrefix="0" xfId="0">
      <alignment horizontal="center" vertical="center" shrinkToFit="1"/>
    </xf>
    <xf numFmtId="3" fontId="27" fillId="12" borderId="0" applyAlignment="1" pivotButton="0" quotePrefix="0" xfId="0">
      <alignment horizontal="center" vertical="center" wrapText="1"/>
    </xf>
    <xf numFmtId="0" fontId="33" fillId="0" borderId="0" applyAlignment="1" pivotButton="0" quotePrefix="0" xfId="0">
      <alignment horizontal="left" vertical="center" wrapText="1" indent="1"/>
    </xf>
    <xf numFmtId="0" fontId="19" fillId="12" borderId="0" applyAlignment="1" pivotButton="0" quotePrefix="0" xfId="0">
      <alignment horizontal="left" vertical="center" wrapText="1" indent="1"/>
    </xf>
    <xf numFmtId="0" fontId="29" fillId="8" borderId="0" applyAlignment="1" pivotButton="0" quotePrefix="0" xfId="0">
      <alignment horizontal="left" vertical="center" wrapText="1" indent="1"/>
    </xf>
    <xf numFmtId="0" fontId="0" fillId="8" borderId="0" pivotButton="0" quotePrefix="0" xfId="0"/>
    <xf numFmtId="0" fontId="25" fillId="8" borderId="0" applyAlignment="1" pivotButton="0" quotePrefix="0" xfId="0">
      <alignment horizontal="left" vertical="center" wrapText="1" indent="1"/>
    </xf>
    <xf numFmtId="0" fontId="19" fillId="8" borderId="0" applyAlignment="1" pivotButton="0" quotePrefix="0" xfId="0">
      <alignment horizontal="left" vertical="top" wrapText="1" indent="1"/>
    </xf>
    <xf numFmtId="0" fontId="19" fillId="8" borderId="0" applyAlignment="1" pivotButton="0" quotePrefix="0" xfId="0">
      <alignment horizontal="left" vertical="center" wrapText="1" indent="1"/>
    </xf>
    <xf numFmtId="0" fontId="30" fillId="0" borderId="0" applyAlignment="1" pivotButton="0" quotePrefix="0" xfId="0">
      <alignment horizontal="left" vertical="center" wrapText="1" indent="1"/>
    </xf>
    <xf numFmtId="0" fontId="19" fillId="8" borderId="0" applyAlignment="1" pivotButton="0" quotePrefix="0" xfId="0">
      <alignment horizontal="center" vertical="center" wrapText="1"/>
    </xf>
    <xf numFmtId="3" fontId="19" fillId="8" borderId="0" applyAlignment="1" pivotButton="0" quotePrefix="0" xfId="0">
      <alignment horizontal="center" vertical="center" wrapText="1"/>
    </xf>
    <xf numFmtId="165" fontId="31" fillId="12" borderId="0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left" vertical="center" wrapText="1" indent="1"/>
    </xf>
    <xf numFmtId="0" fontId="38" fillId="10" borderId="0" applyAlignment="1" pivotButton="0" quotePrefix="0" xfId="0">
      <alignment horizontal="left" vertical="center" wrapText="1" indent="1"/>
    </xf>
    <xf numFmtId="0" fontId="35" fillId="0" borderId="2" applyAlignment="1" pivotButton="0" quotePrefix="0" xfId="0">
      <alignment horizontal="left" vertical="center" wrapText="1" indent="1"/>
    </xf>
    <xf numFmtId="0" fontId="36" fillId="9" borderId="1" applyAlignment="1" pivotButton="0" quotePrefix="0" xfId="0">
      <alignment horizontal="left" vertical="center" wrapText="1" indent="1"/>
    </xf>
    <xf numFmtId="0" fontId="36" fillId="9" borderId="1" applyAlignment="1" pivotButton="0" quotePrefix="0" xfId="0">
      <alignment horizontal="center" vertical="center" wrapText="1"/>
    </xf>
    <xf numFmtId="0" fontId="37" fillId="0" borderId="1" applyAlignment="1" pivotButton="0" quotePrefix="0" xfId="0">
      <alignment horizontal="center" vertical="center" wrapText="1"/>
    </xf>
    <xf numFmtId="3" fontId="37" fillId="0" borderId="1" applyAlignment="1" pivotButton="0" quotePrefix="0" xfId="0">
      <alignment horizontal="center" vertical="center" wrapText="1"/>
    </xf>
    <xf numFmtId="165" fontId="37" fillId="0" borderId="1" applyAlignment="1" pivotButton="0" quotePrefix="0" xfId="0">
      <alignment horizontal="center" vertical="center" wrapText="1"/>
    </xf>
    <xf numFmtId="0" fontId="37" fillId="0" borderId="1" applyAlignment="1" pivotButton="0" quotePrefix="0" xfId="0">
      <alignment horizontal="left" vertical="center" wrapText="1" indent="1"/>
    </xf>
    <xf numFmtId="0" fontId="35" fillId="0" borderId="1" applyAlignment="1" pivotButton="0" quotePrefix="0" xfId="0">
      <alignment horizontal="left" vertical="center" wrapText="1" indent="1"/>
    </xf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39" fillId="0" borderId="0" applyAlignment="1" pivotButton="0" quotePrefix="0" xfId="0">
      <alignment horizontal="left" vertical="center" wrapText="1" indent="1"/>
    </xf>
    <xf numFmtId="0" fontId="40" fillId="0" borderId="0" applyAlignment="1" pivotButton="0" quotePrefix="0" xfId="0">
      <alignment horizontal="left" vertical="center" wrapText="1" indent="1"/>
    </xf>
    <xf numFmtId="0" fontId="41" fillId="13" borderId="0" applyAlignment="1" pivotButton="0" quotePrefix="0" xfId="0">
      <alignment horizontal="left" vertical="center" wrapText="1" indent="1"/>
    </xf>
    <xf numFmtId="0" fontId="0" fillId="13" borderId="0" pivotButton="0" quotePrefix="0" xfId="0"/>
    <xf numFmtId="0" fontId="33" fillId="14" borderId="0" applyAlignment="1" pivotButton="0" quotePrefix="0" xfId="0">
      <alignment horizontal="left" vertical="center" wrapText="1" indent="1"/>
    </xf>
    <xf numFmtId="0" fontId="19" fillId="14" borderId="0" applyAlignment="1" pivotButton="0" quotePrefix="0" xfId="0">
      <alignment horizontal="left" vertical="center" wrapText="1" indent="1"/>
    </xf>
    <xf numFmtId="0" fontId="42" fillId="10" borderId="2" applyAlignment="1" pivotButton="0" quotePrefix="0" xfId="0">
      <alignment horizontal="left" vertical="center" wrapText="1" indent="1"/>
    </xf>
    <xf numFmtId="0" fontId="0" fillId="10" borderId="2" pivotButton="0" quotePrefix="0" xfId="0"/>
    <xf numFmtId="0" fontId="3" fillId="15" borderId="14" applyAlignment="1" pivotButton="0" quotePrefix="0" xfId="0">
      <alignment horizontal="center" vertical="center" wrapText="1"/>
    </xf>
    <xf numFmtId="0" fontId="0" fillId="15" borderId="15" pivotButton="0" quotePrefix="0" xfId="0"/>
    <xf numFmtId="0" fontId="43" fillId="10" borderId="16" applyAlignment="1" pivotButton="0" quotePrefix="0" xfId="0">
      <alignment horizontal="center" vertical="center" wrapText="1"/>
    </xf>
    <xf numFmtId="0" fontId="0" fillId="10" borderId="17" pivotButton="0" quotePrefix="0" xfId="0"/>
    <xf numFmtId="0" fontId="0" fillId="10" borderId="18" pivotButton="0" quotePrefix="0" xfId="0"/>
    <xf numFmtId="0" fontId="0" fillId="10" borderId="19" pivotButton="0" quotePrefix="0" xfId="0"/>
    <xf numFmtId="0" fontId="43" fillId="10" borderId="14" applyAlignment="1" pivotButton="0" quotePrefix="0" xfId="0">
      <alignment horizontal="left" vertical="center" wrapText="1" indent="1"/>
    </xf>
    <xf numFmtId="0" fontId="0" fillId="10" borderId="20" pivotButton="0" quotePrefix="0" xfId="0"/>
    <xf numFmtId="0" fontId="0" fillId="10" borderId="15" pivotButton="0" quotePrefix="0" xfId="0"/>
    <xf numFmtId="0" fontId="4" fillId="10" borderId="14" applyAlignment="1" pivotButton="0" quotePrefix="0" xfId="0">
      <alignment horizontal="left" vertical="center" wrapText="1" indent="1"/>
    </xf>
    <xf numFmtId="0" fontId="44" fillId="15" borderId="14" applyAlignment="1" pivotButton="0" quotePrefix="0" xfId="0">
      <alignment horizontal="left" vertical="center" wrapText="1" indent="1"/>
    </xf>
    <xf numFmtId="0" fontId="0" fillId="15" borderId="20" pivotButton="0" quotePrefix="0" xfId="0"/>
    <xf numFmtId="3" fontId="45" fillId="10" borderId="14" applyAlignment="1" pivotButton="0" quotePrefix="0" xfId="0">
      <alignment horizontal="center" vertical="center" shrinkToFit="1"/>
    </xf>
    <xf numFmtId="3" fontId="45" fillId="10" borderId="14" applyAlignment="1" pivotButton="0" quotePrefix="0" xfId="0">
      <alignment horizontal="center" vertical="center" wrapText="1"/>
    </xf>
    <xf numFmtId="0" fontId="10" fillId="10" borderId="14" applyAlignment="1" pivotButton="0" quotePrefix="0" xfId="0">
      <alignment horizontal="left" vertical="center" wrapText="1" indent="1"/>
    </xf>
    <xf numFmtId="0" fontId="46" fillId="15" borderId="14" applyAlignment="1" pivotButton="0" quotePrefix="0" xfId="0">
      <alignment horizontal="left" vertical="center" wrapText="1" indent="1"/>
    </xf>
    <xf numFmtId="0" fontId="3" fillId="15" borderId="16" applyAlignment="1" pivotButton="0" quotePrefix="0" xfId="0">
      <alignment horizontal="center" vertical="center" wrapText="1"/>
    </xf>
    <xf numFmtId="0" fontId="0" fillId="15" borderId="17" pivotButton="0" quotePrefix="0" xfId="0"/>
    <xf numFmtId="0" fontId="47" fillId="10" borderId="14" applyAlignment="1" pivotButton="0" quotePrefix="0" xfId="0">
      <alignment horizontal="left" vertical="center" wrapText="1" indent="1"/>
    </xf>
    <xf numFmtId="0" fontId="0" fillId="15" borderId="18" pivotButton="0" quotePrefix="0" xfId="0"/>
    <xf numFmtId="0" fontId="0" fillId="15" borderId="19" pivotButton="0" quotePrefix="0" xfId="0"/>
    <xf numFmtId="0" fontId="3" fillId="10" borderId="14" applyAlignment="1" pivotButton="0" quotePrefix="0" xfId="0">
      <alignment horizontal="left" vertical="center" wrapText="1" indent="1"/>
    </xf>
    <xf numFmtId="0" fontId="0" fillId="15" borderId="21" pivotButton="0" quotePrefix="0" xfId="0"/>
    <xf numFmtId="0" fontId="0" fillId="15" borderId="22" pivotButton="0" quotePrefix="0" xfId="0"/>
    <xf numFmtId="0" fontId="4" fillId="10" borderId="14" applyAlignment="1" pivotButton="0" quotePrefix="0" xfId="0">
      <alignment horizontal="center" vertical="center" wrapText="1"/>
    </xf>
    <xf numFmtId="3" fontId="4" fillId="10" borderId="14" applyAlignment="1" pivotButton="0" quotePrefix="0" xfId="0">
      <alignment horizontal="center" vertical="center" wrapText="1"/>
    </xf>
    <xf numFmtId="165" fontId="48" fillId="10" borderId="14" applyAlignment="1" pivotButton="0" quotePrefix="0" xfId="0">
      <alignment horizontal="center" vertical="center" wrapText="1"/>
    </xf>
    <xf numFmtId="0" fontId="49" fillId="10" borderId="14" applyAlignment="1" pivotButton="0" quotePrefix="0" xfId="0">
      <alignment horizontal="left" vertical="center" wrapText="1" indent="1"/>
    </xf>
    <xf numFmtId="0" fontId="50" fillId="10" borderId="2" applyAlignment="1" pivotButton="0" quotePrefix="0" xfId="0">
      <alignment horizontal="left" vertical="center" wrapText="1" indent="1"/>
    </xf>
    <xf numFmtId="0" fontId="3" fillId="15" borderId="23" applyAlignment="1" pivotButton="0" quotePrefix="0" xfId="0">
      <alignment horizontal="center" vertical="center" wrapText="1"/>
    </xf>
    <xf numFmtId="0" fontId="0" fillId="0" borderId="27" pivotButton="0" quotePrefix="0" xfId="0"/>
    <xf numFmtId="0" fontId="43" fillId="8" borderId="23" applyAlignment="1" applyProtection="1" pivotButton="0" quotePrefix="0" xfId="0">
      <alignment horizontal="center" vertical="center" wrapText="1"/>
      <protection locked="0" hidden="0"/>
    </xf>
    <xf numFmtId="0" fontId="0" fillId="8" borderId="25" applyProtection="1" pivotButton="0" quotePrefix="0" xfId="0">
      <protection locked="0" hidden="0"/>
    </xf>
    <xf numFmtId="0" fontId="0" fillId="8" borderId="30" applyProtection="1" pivotButton="0" quotePrefix="0" xfId="0">
      <protection locked="0" hidden="0"/>
    </xf>
    <xf numFmtId="0" fontId="0" fillId="8" borderId="31" applyProtection="1" pivotButton="0" quotePrefix="0" xfId="0">
      <protection locked="0" hidden="0"/>
    </xf>
    <xf numFmtId="0" fontId="51" fillId="0" borderId="0" applyAlignment="1" pivotButton="0" quotePrefix="0" xfId="0">
      <alignment vertical="center"/>
    </xf>
    <xf numFmtId="0" fontId="43" fillId="10" borderId="23" applyAlignment="1" pivotButton="0" quotePrefix="0" xfId="0">
      <alignment horizontal="left" vertical="center" wrapText="1" indent="1"/>
    </xf>
    <xf numFmtId="0" fontId="0" fillId="0" borderId="26" pivotButton="0" quotePrefix="0" xfId="0"/>
    <xf numFmtId="0" fontId="4" fillId="10" borderId="23" applyAlignment="1" pivotButton="0" quotePrefix="0" xfId="0">
      <alignment horizontal="left" vertical="center" wrapText="1" indent="1"/>
    </xf>
    <xf numFmtId="0" fontId="43" fillId="8" borderId="23" applyAlignment="1" applyProtection="1" pivotButton="0" quotePrefix="0" xfId="0">
      <alignment horizontal="left" vertical="center" wrapText="1" indent="1"/>
      <protection locked="0" hidden="0"/>
    </xf>
    <xf numFmtId="0" fontId="0" fillId="8" borderId="26" applyProtection="1" pivotButton="0" quotePrefix="0" xfId="0">
      <protection locked="0" hidden="0"/>
    </xf>
    <xf numFmtId="0" fontId="0" fillId="8" borderId="27" applyProtection="1" pivotButton="0" quotePrefix="0" xfId="0">
      <protection locked="0" hidden="0"/>
    </xf>
    <xf numFmtId="0" fontId="4" fillId="8" borderId="23" applyAlignment="1" applyProtection="1" pivotButton="0" quotePrefix="0" xfId="0">
      <alignment horizontal="left" vertical="center" wrapText="1" indent="1"/>
      <protection locked="0" hidden="0"/>
    </xf>
    <xf numFmtId="0" fontId="47" fillId="10" borderId="23" applyAlignment="1" pivotButton="0" quotePrefix="0" xfId="0">
      <alignment horizontal="left" vertical="center" wrapText="1" indent="1"/>
    </xf>
    <xf numFmtId="0" fontId="44" fillId="8" borderId="23" applyAlignment="1" applyProtection="1" pivotButton="0" quotePrefix="0" xfId="0">
      <alignment horizontal="left" vertical="center" wrapText="1" indent="1"/>
      <protection locked="0" hidden="0"/>
    </xf>
    <xf numFmtId="3" fontId="45" fillId="10" borderId="23" applyAlignment="1" pivotButton="0" quotePrefix="0" xfId="0">
      <alignment horizontal="center" vertical="center" shrinkToFit="1"/>
    </xf>
    <xf numFmtId="3" fontId="45" fillId="7" borderId="23" applyAlignment="1" pivotButton="0" quotePrefix="0" xfId="0">
      <alignment horizontal="center" vertical="center" wrapText="1"/>
    </xf>
    <xf numFmtId="0" fontId="0" fillId="7" borderId="26" pivotButton="0" quotePrefix="0" xfId="0"/>
    <xf numFmtId="0" fontId="0" fillId="7" borderId="27" pivotButton="0" quotePrefix="0" xfId="0"/>
    <xf numFmtId="0" fontId="10" fillId="10" borderId="23" applyAlignment="1" pivotButton="0" quotePrefix="0" xfId="0">
      <alignment horizontal="left" vertical="center" wrapText="1" indent="1"/>
    </xf>
    <xf numFmtId="0" fontId="46" fillId="15" borderId="23" applyAlignment="1" pivotButton="0" quotePrefix="0" xfId="0">
      <alignment horizontal="left" vertical="center" wrapText="1" indent="1"/>
    </xf>
    <xf numFmtId="0" fontId="0" fillId="0" borderId="25" pivotButton="0" quotePrefix="0" xfId="0"/>
    <xf numFmtId="0" fontId="47" fillId="8" borderId="23" applyAlignment="1" applyProtection="1" pivotButton="0" quotePrefix="0" xfId="0">
      <alignment horizontal="left" vertical="center" wrapText="1" indent="1"/>
      <protection locked="0" hidden="0"/>
    </xf>
    <xf numFmtId="0" fontId="0" fillId="0" borderId="30" pivotButton="0" quotePrefix="0" xfId="0"/>
    <xf numFmtId="0" fontId="0" fillId="0" borderId="31" pivotButton="0" quotePrefix="0" xfId="0"/>
    <xf numFmtId="0" fontId="3" fillId="8" borderId="23" applyAlignment="1" applyProtection="1" pivotButton="0" quotePrefix="0" xfId="0">
      <alignment horizontal="left" vertical="center" wrapText="1" indent="1"/>
      <protection locked="0" hidden="0"/>
    </xf>
    <xf numFmtId="0" fontId="0" fillId="0" borderId="28" pivotButton="0" quotePrefix="0" xfId="0"/>
    <xf numFmtId="0" fontId="0" fillId="0" borderId="29" pivotButton="0" quotePrefix="0" xfId="0"/>
    <xf numFmtId="0" fontId="4" fillId="8" borderId="23" applyAlignment="1" applyProtection="1" pivotButton="0" quotePrefix="0" xfId="0">
      <alignment horizontal="center" vertical="center" wrapText="1"/>
      <protection locked="0" hidden="0"/>
    </xf>
    <xf numFmtId="3" fontId="4" fillId="8" borderId="23" applyAlignment="1" applyProtection="1" pivotButton="0" quotePrefix="0" xfId="0">
      <alignment horizontal="center" vertical="center" wrapText="1"/>
      <protection locked="0" hidden="0"/>
    </xf>
    <xf numFmtId="165" fontId="48" fillId="7" borderId="23" applyAlignment="1" pivotButton="0" quotePrefix="0" xfId="0">
      <alignment horizontal="center" vertical="center" wrapText="1"/>
    </xf>
    <xf numFmtId="0" fontId="49" fillId="10" borderId="23" applyAlignment="1" pivotButton="0" quotePrefix="0" xfId="0">
      <alignment horizontal="left" vertical="center" wrapText="1" indent="1"/>
    </xf>
    <xf numFmtId="0" fontId="52" fillId="10" borderId="2" applyAlignment="1" pivotButton="0" quotePrefix="0" xfId="0">
      <alignment horizontal="left" vertical="center" wrapText="1" indent="1"/>
    </xf>
    <xf numFmtId="0" fontId="54" fillId="10" borderId="0" applyAlignment="1" pivotButton="0" quotePrefix="0" xfId="0">
      <alignment horizontal="left" vertical="center" wrapText="1" indent="1"/>
    </xf>
    <xf numFmtId="0" fontId="53" fillId="0" borderId="0" applyAlignment="1" pivotButton="0" quotePrefix="0" xfId="0">
      <alignment horizontal="left" vertical="center" wrapText="1" indent="1"/>
    </xf>
    <xf numFmtId="0" fontId="44" fillId="12" borderId="0" applyAlignment="1" pivotButton="0" quotePrefix="0" xfId="0">
      <alignment horizontal="left" vertical="center" wrapText="1" indent="1"/>
    </xf>
    <xf numFmtId="0" fontId="43" fillId="10" borderId="0" applyAlignment="1" pivotButton="0" quotePrefix="0" xfId="0">
      <alignment horizontal="left" vertical="center" wrapText="1" indent="1"/>
    </xf>
    <xf numFmtId="0" fontId="49" fillId="0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6">
    <dxf>
      <font>
        <b val="1"/>
        <color rgb="00216348"/>
      </font>
      <fill>
        <patternFill patternType="solid">
          <fgColor rgb="00E6F2EB"/>
        </patternFill>
      </fill>
    </dxf>
    <dxf>
      <font>
        <b val="1"/>
        <color rgb="009C2A2A"/>
      </font>
      <fill>
        <patternFill patternType="solid">
          <fgColor rgb="00FCE9E9"/>
        </patternFill>
      </fill>
    </dxf>
    <dxf>
      <font>
        <b val="1"/>
        <color rgb="0080601B"/>
      </font>
      <fill>
        <patternFill patternType="solid">
          <fgColor rgb="00FFF4D7"/>
        </patternFill>
      </fill>
    </dxf>
    <dxf>
      <font>
        <b val="1"/>
        <color rgb="00216348"/>
      </font>
      <fill>
        <patternFill patternType="solid">
          <fgColor rgb="00EEF5F0"/>
        </patternFill>
      </fill>
    </dxf>
    <dxf>
      <font>
        <b val="1"/>
        <color rgb="009C2A2A"/>
      </font>
      <fill>
        <patternFill patternType="solid">
          <fgColor rgb="00F9EEEE"/>
        </patternFill>
      </fill>
    </dxf>
    <dxf>
      <font>
        <b val="1"/>
        <color rgb="0080601B"/>
      </font>
      <fill>
        <patternFill patternType="solid">
          <fgColor rgb="00FFF9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User</author>
  </authors>
  <commentList>
    <comment ref="A1" authorId="0" shapeId="0">
      <text>
        <t>부품 식별자: {{part_id}}</t>
      </text>
    </comment>
    <comment ref="C6" authorId="0" shapeId="0">
      <text>
        <t>제조사 P/N·정격·공급사 (이전 v2)
{{datasheet_match}} · {{selected_mpn}}
정격 {{selected_spec}} · 공급사 {{selected_supplier}}
자세한 비교는 「부품 검토자료」 참조.</t>
      </text>
    </comment>
    <comment ref="C7" authorId="0" shapeId="0">
      <text>
        <t>시스템은 배정 대기만 초기 기입합니다. 실제 주관 담당자는 관리자가 작성합니다.</t>
      </text>
    </comment>
    <comment ref="J7" authorId="0" shapeId="0">
      <text>
        <t>시스템은 담당자 입력만 초기 기입합니다. 실제 협조 부서는 관리자가 작성합니다.</t>
      </text>
    </comment>
    <comment ref="A9" authorId="0" shapeId="0">
      <text>
        <t>문서 상태와 회신 기한은 시스템이 ISSUED / 담당자 입력으로 초기화하며 이후 관리자가 갱신합니다. Job 상태 또는 DB의 메일 전송 상태와 별개입니다.</t>
      </text>
    </comment>
    <comment ref="A12" authorId="0" shapeId="0">
      <text>
        <t>시스템 자동 기입. 발행 검사 시각까지 동일 Job의 검사 완료 Unit 수 × 해당 부품 슬롯 수입니다. requested_quantity(목표 PASS 수량)가 아닙니다.</t>
      </text>
    </comment>
    <comment ref="D12" authorId="0" shapeId="0">
      <text>
        <t>시스템 자동 기입. 동일 Job·부품·불량 유형의 production.unit_defects 기록 수입니다. 불량 Unit 수와 다를 수 있습니다.</t>
      </text>
    </comment>
    <comment ref="J12" authorId="0" shapeId="0">
      <text>
        <t>자동 계산. 관리자가 아래 검증 검사 수량·불량 수량을 입력하면 PPM을 계산합니다. 검사 시스템에서 재집계해 자동 채우는 값은 아닙니다.</t>
      </text>
    </comment>
    <comment ref="C13" authorId="0" shapeId="0">
      <text>
        <t>시스템 자동 기입. 동일 Job 시작(없으면 요청) 시각부터 대상 검사 시각까지 누적 집계합니다. 기간 일수: {{window_days}}. 이동 7일 집계가 아닙니다.</t>
      </text>
    </comment>
    <comment ref="C14" authorId="0" shapeId="0">
      <text>
        <t>발행 시점 전체 슬롯 분포: {{hotspot}}
전체 분포는 불량 근거 시트에 자동 기입됩니다.</t>
      </text>
    </comment>
    <comment ref="C20" authorId="0" shapeId="0">
      <text>
        <t>② 발생 원인의 핵심을 한 줄로 요약합니다.</t>
      </text>
    </comment>
    <comment ref="F26" authorId="0" shapeId="0">
      <text>
        <t>자동 계산. 검증 불량 수량 ÷ 검증 검사 수량. 검증 수량은 부품 검사 건수 기준입니다.</t>
      </text>
    </comment>
  </commentList>
</comments>
</file>

<file path=xl/comments/comment2.xml><?xml version="1.0" encoding="utf-8"?>
<comments xmlns="http://schemas.openxmlformats.org/spreadsheetml/2006/main">
  <authors>
    <author>User</author>
  </authors>
  <commentList>
    <comment ref="A9" authorId="0" shapeId="0">
      <text>
        <t>기존 생성기가 불량 기록별 Unit ID·검사 시각을 줄바꿈 목록으로 기입합니다. 슬롯 토큰은 중복 제거된 목록이며 개별 기록의 슬롯 열과 일대일 대응하지 않습니다. 운영 적용 전 목록 출력 경계의 정비가 필요합니다.</t>
      </text>
    </comment>
  </commentList>
</comments>
</file>

<file path=xl/comments/comment3.xml><?xml version="1.0" encoding="utf-8"?>
<comments xmlns="http://schemas.openxmlformats.org/spreadsheetml/2006/main">
  <authors>
    <author>User</author>
  </authors>
  <commentList>
    <comment ref="A18" authorId="0" shapeId="0">
      <text>
        <t>현재 생성기는 후보별 행을 늘리지 않고 각 열에 줄바꿈 목록을 기입합니다. 후보 수가 늘거나 항목별 줄바꿈이 달라지면 행 단위 비교가 어려우므로 운영 적용 전 행 확장 검토가 필요합니다.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59055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5905500" cy="285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tabColor rgb="00243D5B"/>
    <outlinePr summaryBelow="1" summaryRight="1"/>
    <pageSetUpPr fitToPage="0"/>
  </sheetPr>
  <dimension ref="A1:L30"/>
  <sheetViews>
    <sheetView showGridLines="0" zoomScale="100" workbookViewId="0">
      <pane xSplit="2" ySplit="9" topLeftCell="C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.4" customWidth="1" min="1" max="1"/>
    <col width="6.4" customWidth="1" min="2" max="2"/>
    <col width="6.4" customWidth="1" min="3" max="3"/>
    <col width="6.4" customWidth="1" min="4" max="4"/>
    <col width="6.4" customWidth="1" min="5" max="5"/>
    <col width="6.4" customWidth="1" min="6" max="6"/>
    <col width="6.4" customWidth="1" min="7" max="7"/>
    <col width="6.4" customWidth="1" min="8" max="8"/>
    <col width="6.4" customWidth="1" min="9" max="9"/>
    <col width="6.4" customWidth="1" min="10" max="10"/>
    <col width="6.4" customWidth="1" min="11" max="11"/>
    <col width="6.4" customWidth="1" min="12" max="12"/>
  </cols>
  <sheetData>
    <row r="1" ht="17" customHeight="1">
      <c r="A1" s="91" t="inlineStr">
        <is>
          <t>불 량 대 책 서</t>
        </is>
      </c>
      <c r="G1" s="122" t="inlineStr">
        <is>
          <t>작성</t>
        </is>
      </c>
      <c r="H1" s="123" t="n"/>
      <c r="I1" s="122" t="inlineStr">
        <is>
          <t>검토</t>
        </is>
      </c>
      <c r="J1" s="123" t="n"/>
      <c r="K1" s="122" t="inlineStr">
        <is>
          <t>승인</t>
        </is>
      </c>
      <c r="L1" s="123" t="n"/>
    </row>
    <row r="2" ht="15" customHeight="1">
      <c r="G2" s="124" t="n"/>
      <c r="H2" s="125" t="n"/>
      <c r="I2" s="124" t="n"/>
      <c r="J2" s="125" t="n"/>
      <c r="K2" s="124" t="n"/>
      <c r="L2" s="125" t="n"/>
    </row>
    <row r="3" ht="15" customHeight="1">
      <c r="G3" s="126" t="n"/>
      <c r="H3" s="127" t="n"/>
      <c r="I3" s="126" t="n"/>
      <c r="J3" s="127" t="n"/>
      <c r="K3" s="126" t="n"/>
      <c r="L3" s="127" t="n"/>
    </row>
    <row r="4" ht="12" customHeight="1">
      <c r="A4" s="128" t="inlineStr">
        <is>
          <t>시스템 자동 기입 · 발행 시점 고정  |  담당·기한·문서 상태는 관리자 갱신</t>
        </is>
      </c>
    </row>
    <row r="5" ht="24" customHeight="1">
      <c r="A5" s="122" t="inlineStr">
        <is>
          <t>문서번호</t>
        </is>
      </c>
      <c r="B5" s="123" t="n"/>
      <c r="C5" s="129" t="inlineStr">
        <is>
          <t>{{alert_code}}</t>
        </is>
      </c>
      <c r="D5" s="130" t="n"/>
      <c r="E5" s="130" t="n"/>
      <c r="F5" s="130" t="n"/>
      <c r="G5" s="123" t="n"/>
      <c r="H5" s="122" t="inlineStr">
        <is>
          <t>발행일시</t>
        </is>
      </c>
      <c r="I5" s="123" t="n"/>
      <c r="J5" s="131" t="inlineStr">
        <is>
          <t>{{issued_at}}</t>
        </is>
      </c>
      <c r="K5" s="130" t="n"/>
      <c r="L5" s="123" t="n"/>
    </row>
    <row r="6" ht="30" customHeight="1">
      <c r="A6" s="122" t="inlineStr">
        <is>
          <t>대상 부품</t>
        </is>
      </c>
      <c r="B6" s="123" t="n"/>
      <c r="C6" s="129" t="inlineStr">
        <is>
          <t>{{part_id}} · {{part_name}} ({{category_label}})</t>
        </is>
      </c>
      <c r="D6" s="130" t="n"/>
      <c r="E6" s="130" t="n"/>
      <c r="F6" s="130" t="n"/>
      <c r="G6" s="123" t="n"/>
      <c r="H6" s="122" t="inlineStr">
        <is>
          <t>불량 유형</t>
        </is>
      </c>
      <c r="I6" s="123" t="n"/>
      <c r="J6" s="131" t="inlineStr">
        <is>
          <t>{{defect_type}}</t>
        </is>
      </c>
      <c r="K6" s="130" t="n"/>
      <c r="L6" s="123" t="n"/>
    </row>
    <row r="7" ht="22" customHeight="1">
      <c r="A7" s="122" t="inlineStr">
        <is>
          <t>주관 담당</t>
        </is>
      </c>
      <c r="B7" s="123" t="n"/>
      <c r="C7" s="132" t="inlineStr">
        <is>
          <t>{{assignee}}</t>
        </is>
      </c>
      <c r="D7" s="133" t="n"/>
      <c r="E7" s="133" t="n"/>
      <c r="F7" s="133" t="n"/>
      <c r="G7" s="134" t="n"/>
      <c r="H7" s="122" t="inlineStr">
        <is>
          <t>협조 부서</t>
        </is>
      </c>
      <c r="I7" s="123" t="n"/>
      <c r="J7" s="135" t="inlineStr">
        <is>
          <t>{{support_teams}}</t>
        </is>
      </c>
      <c r="K7" s="133" t="n"/>
      <c r="L7" s="134" t="n"/>
    </row>
    <row r="8" ht="30" customHeight="1">
      <c r="A8" s="122" t="inlineStr">
        <is>
          <t>발행 대상</t>
        </is>
      </c>
      <c r="B8" s="123" t="n"/>
      <c r="C8" s="136" t="inlineStr">
        <is>
          <t>Job {{job_id}}
Unit {{target_unit_id}} · {{target_slot_code}}</t>
        </is>
      </c>
      <c r="D8" s="130" t="n"/>
      <c r="E8" s="130" t="n"/>
      <c r="F8" s="130" t="n"/>
      <c r="G8" s="123" t="n"/>
      <c r="H8" s="122" t="inlineStr">
        <is>
          <t>검사 시각</t>
        </is>
      </c>
      <c r="I8" s="123" t="n"/>
      <c r="J8" s="131" t="inlineStr">
        <is>
          <t>{{target_inspected_at}}</t>
        </is>
      </c>
      <c r="K8" s="130" t="n"/>
      <c r="L8" s="123" t="n"/>
    </row>
    <row r="9" ht="26" customHeight="1">
      <c r="A9" s="137" t="inlineStr">
        <is>
          <t>상태 {{alert_status}} · 발행 기준 {{vs_threshold_ratio}}
회신 ① {{due_initial}}   ②③ {{due_cause}}   ④ {{due_action}}   ⑤⑥ {{due_verify}}</t>
        </is>
      </c>
      <c r="B9" s="133" t="n"/>
      <c r="C9" s="133" t="n"/>
      <c r="D9" s="133" t="n"/>
      <c r="E9" s="133" t="n"/>
      <c r="F9" s="133" t="n"/>
      <c r="G9" s="133" t="n"/>
      <c r="H9" s="133" t="n"/>
      <c r="I9" s="133" t="n"/>
      <c r="J9" s="133" t="n"/>
      <c r="K9" s="133" t="n"/>
      <c r="L9" s="134" t="n"/>
    </row>
    <row r="10" ht="6" customHeight="1"/>
    <row r="11" ht="17" customHeight="1">
      <c r="A11" s="122" t="inlineStr">
        <is>
          <t>부품 검사 수량</t>
        </is>
      </c>
      <c r="B11" s="130" t="n"/>
      <c r="C11" s="123" t="n"/>
      <c r="D11" s="122" t="inlineStr">
        <is>
          <t>불량 건수</t>
        </is>
      </c>
      <c r="E11" s="130" t="n"/>
      <c r="F11" s="123" t="n"/>
      <c r="G11" s="122" t="inlineStr">
        <is>
          <t>발행 PPM</t>
        </is>
      </c>
      <c r="H11" s="130" t="n"/>
      <c r="I11" s="123" t="n"/>
      <c r="J11" s="122" t="inlineStr">
        <is>
          <t>검증 PPM(계산)</t>
        </is>
      </c>
      <c r="K11" s="130" t="n"/>
      <c r="L11" s="123" t="n"/>
    </row>
    <row r="12" ht="24" customHeight="1">
      <c r="A12" s="138" t="inlineStr">
        <is>
          <t>{{inspected_quantity}}</t>
        </is>
      </c>
      <c r="B12" s="130" t="n"/>
      <c r="C12" s="123" t="n"/>
      <c r="D12" s="138" t="inlineStr">
        <is>
          <t>{{defective_quantity}}</t>
        </is>
      </c>
      <c r="E12" s="130" t="n"/>
      <c r="F12" s="123" t="n"/>
      <c r="G12" s="138" t="inlineStr">
        <is>
          <t>{{defect_ppm}}</t>
        </is>
      </c>
      <c r="H12" s="130" t="n"/>
      <c r="I12" s="123" t="n"/>
      <c r="J12" s="139">
        <f>IF(AND(ISNUMBER(G25),ISNUMBER(I25),G25&gt;0),I25/G25*1000000,"")</f>
        <v/>
      </c>
      <c r="K12" s="140" t="n"/>
      <c r="L12" s="141" t="n"/>
    </row>
    <row r="13" ht="26" customHeight="1">
      <c r="A13" s="122" t="inlineStr">
        <is>
          <t>집계 기간</t>
        </is>
      </c>
      <c r="B13" s="123" t="n"/>
      <c r="C13" s="142" t="inlineStr">
        <is>
          <t>{{period_start}}
~ {{period_end}} ({{evaluation_mode}})</t>
        </is>
      </c>
      <c r="D13" s="130" t="n"/>
      <c r="E13" s="130" t="n"/>
      <c r="F13" s="130" t="n"/>
      <c r="G13" s="123" t="n"/>
      <c r="H13" s="122" t="inlineStr">
        <is>
          <t>레시피</t>
        </is>
      </c>
      <c r="I13" s="123" t="n"/>
      <c r="J13" s="142" t="inlineStr">
        <is>
          <t>{{source_recipe_version}}</t>
        </is>
      </c>
      <c r="K13" s="130" t="n"/>
      <c r="L13" s="123" t="n"/>
    </row>
    <row r="14" ht="24" customHeight="1">
      <c r="A14" s="122" t="inlineStr">
        <is>
          <t>발생 위치</t>
        </is>
      </c>
      <c r="B14" s="123" t="n"/>
      <c r="C14" s="131" t="inlineStr">
        <is>
          <t>{{target_slot_code}} (발행 대상)
전체 분포: 불량 근거</t>
        </is>
      </c>
      <c r="D14" s="130" t="n"/>
      <c r="E14" s="130" t="n"/>
      <c r="F14" s="123" t="n"/>
      <c r="G14" s="122" t="inlineStr">
        <is>
          <t>완제품 영향</t>
        </is>
      </c>
      <c r="H14" s="123" t="n"/>
      <c r="I14" s="131" t="inlineStr">
        <is>
          <t>{{unit_impact}}</t>
        </is>
      </c>
      <c r="J14" s="130" t="n"/>
      <c r="K14" s="130" t="n"/>
      <c r="L14" s="123" t="n"/>
    </row>
    <row r="15" ht="48" customHeight="1">
      <c r="A15" s="122" t="inlineStr">
        <is>
          <t>자동 분석</t>
        </is>
      </c>
      <c r="B15" s="123" t="n"/>
      <c r="C15" s="131" t="inlineStr">
        <is>
          <t>{{auto_analysis}}</t>
        </is>
      </c>
      <c r="D15" s="130" t="n"/>
      <c r="E15" s="130" t="n"/>
      <c r="F15" s="130" t="n"/>
      <c r="G15" s="130" t="n"/>
      <c r="H15" s="130" t="n"/>
      <c r="I15" s="130" t="n"/>
      <c r="J15" s="130" t="n"/>
      <c r="K15" s="130" t="n"/>
      <c r="L15" s="123" t="n"/>
    </row>
    <row r="16" ht="6" customHeight="1"/>
    <row r="17" ht="18" customHeight="1">
      <c r="A17" s="143" t="inlineStr">
        <is>
          <t>관리자 직접 작성  |  ①~⑥ 조치·원인·대책·검증·종결</t>
        </is>
      </c>
      <c r="B17" s="130" t="n"/>
      <c r="C17" s="130" t="n"/>
      <c r="D17" s="130" t="n"/>
      <c r="E17" s="130" t="n"/>
      <c r="F17" s="130" t="n"/>
      <c r="G17" s="130" t="n"/>
      <c r="H17" s="130" t="n"/>
      <c r="I17" s="130" t="n"/>
      <c r="J17" s="130" t="n"/>
      <c r="K17" s="130" t="n"/>
      <c r="L17" s="123" t="n"/>
    </row>
    <row r="18" ht="20" customHeight="1">
      <c r="A18" s="122" t="inlineStr">
        <is>
          <t>① 초동 조치</t>
        </is>
      </c>
      <c r="B18" s="144" t="n"/>
      <c r="C18" s="145" t="inlineStr">
        <is>
          <t>□ 생산 중단    □ 출하 보류    □ 재고 선별    □ 고객 통보    □ 설비 정지</t>
        </is>
      </c>
      <c r="D18" s="133" t="n"/>
      <c r="E18" s="133" t="n"/>
      <c r="F18" s="133" t="n"/>
      <c r="G18" s="133" t="n"/>
      <c r="H18" s="133" t="n"/>
      <c r="I18" s="133" t="n"/>
      <c r="J18" s="133" t="n"/>
      <c r="K18" s="133" t="n"/>
      <c r="L18" s="134" t="n"/>
    </row>
    <row r="19" ht="58" customHeight="1">
      <c r="A19" s="146" t="n"/>
      <c r="B19" s="147" t="n"/>
      <c r="C19" s="132" t="n"/>
      <c r="D19" s="133" t="n"/>
      <c r="E19" s="133" t="n"/>
      <c r="F19" s="133" t="n"/>
      <c r="G19" s="133" t="n"/>
      <c r="H19" s="133" t="n"/>
      <c r="I19" s="133" t="n"/>
      <c r="J19" s="133" t="n"/>
      <c r="K19" s="133" t="n"/>
      <c r="L19" s="134" t="n"/>
    </row>
    <row r="20" ht="16" customHeight="1">
      <c r="A20" s="122" t="inlineStr">
        <is>
          <t>② 발생 원인</t>
        </is>
      </c>
      <c r="B20" s="144" t="n"/>
      <c r="C20" s="148" t="n"/>
      <c r="D20" s="133" t="n"/>
      <c r="E20" s="133" t="n"/>
      <c r="F20" s="133" t="n"/>
      <c r="G20" s="133" t="n"/>
      <c r="H20" s="133" t="n"/>
      <c r="I20" s="133" t="n"/>
      <c r="J20" s="133" t="n"/>
      <c r="K20" s="133" t="n"/>
      <c r="L20" s="134" t="n"/>
    </row>
    <row r="21" ht="56" customHeight="1">
      <c r="A21" s="146" t="n"/>
      <c r="B21" s="147" t="n"/>
      <c r="C21" s="132" t="n"/>
      <c r="D21" s="133" t="n"/>
      <c r="E21" s="133" t="n"/>
      <c r="F21" s="133" t="n"/>
      <c r="G21" s="133" t="n"/>
      <c r="H21" s="133" t="n"/>
      <c r="I21" s="133" t="n"/>
      <c r="J21" s="133" t="n"/>
      <c r="K21" s="133" t="n"/>
      <c r="L21" s="134" t="n"/>
    </row>
    <row r="22" ht="53" customHeight="1">
      <c r="A22" s="122" t="inlineStr">
        <is>
          <t>③ 유출 원인</t>
        </is>
      </c>
      <c r="B22" s="123" t="n"/>
      <c r="C22" s="132" t="n"/>
      <c r="D22" s="133" t="n"/>
      <c r="E22" s="133" t="n"/>
      <c r="F22" s="133" t="n"/>
      <c r="G22" s="133" t="n"/>
      <c r="H22" s="133" t="n"/>
      <c r="I22" s="133" t="n"/>
      <c r="J22" s="133" t="n"/>
      <c r="K22" s="133" t="n"/>
      <c r="L22" s="134" t="n"/>
    </row>
    <row r="23" ht="55" customHeight="1">
      <c r="A23" s="122" t="inlineStr">
        <is>
          <t>④ 재발방지
대책</t>
        </is>
      </c>
      <c r="B23" s="123" t="n"/>
      <c r="C23" s="132" t="n"/>
      <c r="D23" s="133" t="n"/>
      <c r="E23" s="133" t="n"/>
      <c r="F23" s="133" t="n"/>
      <c r="G23" s="133" t="n"/>
      <c r="H23" s="133" t="n"/>
      <c r="I23" s="133" t="n"/>
      <c r="J23" s="133" t="n"/>
      <c r="K23" s="133" t="n"/>
      <c r="L23" s="134" t="n"/>
    </row>
    <row r="24" ht="16" customHeight="1">
      <c r="A24" s="122" t="inlineStr">
        <is>
          <t>⑤ 효과 검증</t>
        </is>
      </c>
      <c r="B24" s="144" t="n"/>
      <c r="C24" s="122" t="inlineStr">
        <is>
          <t>검증 기간</t>
        </is>
      </c>
      <c r="D24" s="123" t="n"/>
      <c r="E24" s="122" t="inlineStr">
        <is>
          <t>적용 레시피</t>
        </is>
      </c>
      <c r="F24" s="123" t="n"/>
      <c r="G24" s="122" t="inlineStr">
        <is>
          <t>검사 수량</t>
        </is>
      </c>
      <c r="H24" s="123" t="n"/>
      <c r="I24" s="122" t="inlineStr">
        <is>
          <t>불량 수량</t>
        </is>
      </c>
      <c r="J24" s="123" t="n"/>
      <c r="K24" s="122" t="inlineStr">
        <is>
          <t>판정</t>
        </is>
      </c>
      <c r="L24" s="123" t="n"/>
    </row>
    <row r="25" ht="24" customHeight="1">
      <c r="A25" s="149" t="n"/>
      <c r="B25" s="150" t="n"/>
      <c r="C25" s="151" t="n"/>
      <c r="D25" s="134" t="n"/>
      <c r="E25" s="151" t="n"/>
      <c r="F25" s="134" t="n"/>
      <c r="G25" s="152" t="n"/>
      <c r="H25" s="134" t="n"/>
      <c r="I25" s="152" t="n"/>
      <c r="J25" s="134" t="n"/>
      <c r="K25" s="151" t="inlineStr">
        <is>
          <t>PENDING</t>
        </is>
      </c>
      <c r="L25" s="134" t="n"/>
    </row>
    <row r="26" ht="20" customHeight="1">
      <c r="A26" s="149" t="n"/>
      <c r="B26" s="150" t="n"/>
      <c r="C26" s="122" t="inlineStr">
        <is>
          <t>불량률(자동 계산)</t>
        </is>
      </c>
      <c r="D26" s="130" t="n"/>
      <c r="E26" s="123" t="n"/>
      <c r="F26" s="153">
        <f>IF(AND(ISNUMBER(G25),ISNUMBER(I25),G25&gt;0),I25/G25,"")</f>
        <v/>
      </c>
      <c r="G26" s="141" t="n"/>
      <c r="H26" s="136" t="inlineStr">
        <is>
          <t>검증 수량: 부품 검사 건수 기준</t>
        </is>
      </c>
      <c r="I26" s="130" t="n"/>
      <c r="J26" s="130" t="n"/>
      <c r="K26" s="130" t="n"/>
      <c r="L26" s="123" t="n"/>
    </row>
    <row r="27" ht="32" customHeight="1">
      <c r="A27" s="146" t="n"/>
      <c r="B27" s="147" t="n"/>
      <c r="C27" s="132" t="n"/>
      <c r="D27" s="133" t="n"/>
      <c r="E27" s="133" t="n"/>
      <c r="F27" s="133" t="n"/>
      <c r="G27" s="133" t="n"/>
      <c r="H27" s="133" t="n"/>
      <c r="I27" s="133" t="n"/>
      <c r="J27" s="133" t="n"/>
      <c r="K27" s="133" t="n"/>
      <c r="L27" s="134" t="n"/>
    </row>
    <row r="28" ht="18" customHeight="1">
      <c r="A28" s="122" t="inlineStr">
        <is>
          <t>⑥ 종결</t>
        </is>
      </c>
      <c r="B28" s="144" t="n"/>
      <c r="C28" s="122" t="inlineStr">
        <is>
          <t>종결일</t>
        </is>
      </c>
      <c r="D28" s="123" t="n"/>
      <c r="E28" s="132" t="n"/>
      <c r="F28" s="133" t="n"/>
      <c r="G28" s="134" t="n"/>
      <c r="H28" s="154" t="inlineStr">
        <is>
          <t>잔여 위험 · 이관 사항 확인</t>
        </is>
      </c>
      <c r="I28" s="130" t="n"/>
      <c r="J28" s="130" t="n"/>
      <c r="K28" s="130" t="n"/>
      <c r="L28" s="123" t="n"/>
    </row>
    <row r="29" ht="40" customHeight="1">
      <c r="A29" s="146" t="n"/>
      <c r="B29" s="147" t="n"/>
      <c r="C29" s="132" t="n"/>
      <c r="D29" s="133" t="n"/>
      <c r="E29" s="133" t="n"/>
      <c r="F29" s="133" t="n"/>
      <c r="G29" s="133" t="n"/>
      <c r="H29" s="133" t="n"/>
      <c r="I29" s="133" t="n"/>
      <c r="J29" s="133" t="n"/>
      <c r="K29" s="133" t="n"/>
      <c r="L29" s="134" t="n"/>
    </row>
    <row r="30" ht="16" customHeight="1">
      <c r="A30" s="155" t="inlineStr">
        <is>
          <t>노랑: 관리자 작성 · 파랑: 자동 계산 · 그 외: 시스템 기입 / 입력 칸 클릭 시 작성 안내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0" sort="1"/>
  <mergeCells count="75">
    <mergeCell ref="C27:L27"/>
    <mergeCell ref="J6:L6"/>
    <mergeCell ref="I14:L14"/>
    <mergeCell ref="D11:F11"/>
    <mergeCell ref="K25:L25"/>
    <mergeCell ref="A15:B15"/>
    <mergeCell ref="C23:L23"/>
    <mergeCell ref="C24:D24"/>
    <mergeCell ref="C6:G6"/>
    <mergeCell ref="E24:F24"/>
    <mergeCell ref="K24:L24"/>
    <mergeCell ref="H26:L26"/>
    <mergeCell ref="K2:L3"/>
    <mergeCell ref="C5:G5"/>
    <mergeCell ref="A18:B19"/>
    <mergeCell ref="A12:C12"/>
    <mergeCell ref="A6:B6"/>
    <mergeCell ref="J11:L11"/>
    <mergeCell ref="J7:L7"/>
    <mergeCell ref="C19:L19"/>
    <mergeCell ref="E28:G28"/>
    <mergeCell ref="A20:B21"/>
    <mergeCell ref="H6:I6"/>
    <mergeCell ref="A7:B7"/>
    <mergeCell ref="C18:L18"/>
    <mergeCell ref="C25:D25"/>
    <mergeCell ref="I25:J25"/>
    <mergeCell ref="K1:L1"/>
    <mergeCell ref="D12:F12"/>
    <mergeCell ref="C15:L15"/>
    <mergeCell ref="A17:L17"/>
    <mergeCell ref="J12:L12"/>
    <mergeCell ref="F26:G26"/>
    <mergeCell ref="C14:F14"/>
    <mergeCell ref="A4:L4"/>
    <mergeCell ref="A28:B29"/>
    <mergeCell ref="G24:H24"/>
    <mergeCell ref="H7:I7"/>
    <mergeCell ref="G2:H3"/>
    <mergeCell ref="A24:B27"/>
    <mergeCell ref="I24:J24"/>
    <mergeCell ref="I2:J3"/>
    <mergeCell ref="A5:B5"/>
    <mergeCell ref="C29:L29"/>
    <mergeCell ref="J8:L8"/>
    <mergeCell ref="H28:L28"/>
    <mergeCell ref="A14:B14"/>
    <mergeCell ref="G14:H14"/>
    <mergeCell ref="A9:L9"/>
    <mergeCell ref="G12:I12"/>
    <mergeCell ref="C20:L20"/>
    <mergeCell ref="A23:B23"/>
    <mergeCell ref="A8:B8"/>
    <mergeCell ref="C8:G8"/>
    <mergeCell ref="H13:I13"/>
    <mergeCell ref="I1:J1"/>
    <mergeCell ref="A22:B22"/>
    <mergeCell ref="G11:I11"/>
    <mergeCell ref="J5:L5"/>
    <mergeCell ref="A30:L30"/>
    <mergeCell ref="C7:G7"/>
    <mergeCell ref="A11:C11"/>
    <mergeCell ref="C22:L22"/>
    <mergeCell ref="E25:F25"/>
    <mergeCell ref="G1:H1"/>
    <mergeCell ref="J13:L13"/>
    <mergeCell ref="G25:H25"/>
    <mergeCell ref="A1:F3"/>
    <mergeCell ref="A13:B13"/>
    <mergeCell ref="H5:I5"/>
    <mergeCell ref="C21:L21"/>
    <mergeCell ref="C26:E26"/>
    <mergeCell ref="C28:D28"/>
    <mergeCell ref="H8:I8"/>
    <mergeCell ref="C13:G13"/>
  </mergeCells>
  <conditionalFormatting sqref="K25:L25">
    <cfRule type="cellIs" priority="1" operator="equal" dxfId="3">
      <formula>"EFFECTIVE"</formula>
    </cfRule>
    <cfRule type="cellIs" priority="2" operator="equal" dxfId="4">
      <formula>"INEFFECTIVE"</formula>
    </cfRule>
    <cfRule type="cellIs" priority="3" operator="equal" dxfId="5">
      <formula>"PENDING"</formula>
    </cfRule>
  </conditionalFormatting>
  <dataValidations count="18">
    <dataValidation sqref="J6" showDropDown="0" showInputMessage="1" showErrorMessage="1" allowBlank="1" errorTitle="허용되지 않는 값" error="다음 중 하나여야 한다: MISSING,POSITION_ERROR,ORIENTATION_ERROR,CRACK" promptTitle="불량 유형" prompt="참고 시트 2개은 유형과 무관하게 항상 첨부한다.&#10;어느 자료가 이번 건에 쓸모 있는지는 담당자가 판단한다." type="list">
      <formula1>"MISSING,POSITION_ERROR,ORIENTATION_ERROR,CRACK"</formula1>
    </dataValidation>
    <dataValidation sqref="C18" showDropDown="0" showInputMessage="1" showErrorMessage="0" allowBlank="0" promptTitle="① 협조가 필요한 조치" prompt="담당자 혼자 결정할 수 없는 항목이다. 해당하는 것의 □ 를 ■ 로 바꾸고,&#10;아래 칸에 누구에게 언제 요청했는지 적는다.&#10;&#10;생산 중단 → 생산팀장 · 출하 보류 → 영업/물류 · 재고 선별 → 인력 투입 승인&#10;고객 통보 → 품질보증 책임자 · 설비 정지 → 설비팀&#10;"/>
    <dataValidation sqref="C19" showDropDown="0" showInputMessage="1" showErrorMessage="0" allowBlank="0" promptTitle="① 초동 조치 — 오늘 안에" prompt="격리·선별·출하보류 범위와 완료 시각을 적는다.&#10;영향 받는 job_id / unit_id 범위를 함께 적는다.&#10;&#10;원인이 안 나와도 오늘 회신한다. 여기는 '막았는지'만 쓰는 칸이다.&#10;원인을 없애는 것은 ④ 이고, 이 칸은 확산을 멈추는 칸이다.&#10;"/>
    <dataValidation sqref="C20" showDropDown="0" showInputMessage="1" showErrorMessage="0" allowBlank="0" promptTitle="② 발생 원인 — 한 줄 요약 (40자)" prompt="본문을 한 줄로 줄인 것. 예: '배치 하강속도 상향 + 지지 핀 최원거리 슬롯'&#10;본문은 길어서 이 칸에 들어가지 않으므로 핵심 원인만 적는다."/>
    <dataValidation sqref="C21" showDropDown="0" showInputMessage="1" showErrorMessage="0" allowBlank="0" promptTitle="② 발생 원인 — 왜 만들어졌는가" prompt="「불량 근거」의 발생 기록과 검사 이미지를 확인한다.&#10;재현 또는 실물 확인으로 검증한 근거를 적는다.&#10;가설이면 '가설'이라고 표시한다.&#10;"/>
    <dataValidation sqref="C22" showDropDown="0" showInputMessage="1" showErrorMessage="0" allowBlank="0" promptTitle="③ 유출 원인 — 왜 검사에서 걸리지 않았는가" prompt="「부품 검토자료」의 데이터시트 검사 항목과 대조해 판정 기준의 한계를 적는다.&#10;검사를 안 한 것인지, 했는데 못 걸른 것인지 구분한다.&#10;"/>
    <dataValidation sqref="C23" showDropDown="0" showInputMessage="1" showErrorMessage="0" allowBlank="0" promptTitle="④ 재발방지 대책 — 원인을 제거하는 영구대책" prompt="레시피·공정조건을 바꾸면 변경 후 recipe_version을 적는다.&#10;부품을 바꾸면 「부품 검토자료」의 대체품 영역의 대체코드를 적는다.&#10;동일 부품을 쓰는 다른 슬롯으로의 수평전개 여부를 포함한다.&#10;&#10;레시피 변경은 변경관리 승인이, 부품 교체는 고객 승인이 필요할 수 있다.&#10;승인 절차가 걸리면 그 일정도 함께 적는다.&#10;"/>
    <dataValidation sqref="C25" showDropDown="0" showInputMessage="1" showErrorMessage="0" allowBlank="0" promptTitle="⑤ 검증 기간" prompt="대책을 적용하고 다시 집계한 구간. [시작, 끝) 으로 적는다.&#10;"/>
    <dataValidation sqref="E25" showDropDown="0" showInputMessage="1" showErrorMessage="0" allowBlank="0" promptTitle="⑤ 적용 레시피" prompt="대책을 적용한 뒤 실행한 recipe_version.&#10;이 값이 있어야 적용 전후를 같은 제품 안에서 비교할 수 있다.&#10;"/>
    <dataValidation sqref="G25" showDropDown="0" showInputMessage="1" showErrorMessage="0" allowBlank="0" promptTitle="⑤ 검증 검사 수량" prompt="부품 기준 검사 건수 (유닛 수 × 해당 부품 슬롯 수).&#10;"/>
    <dataValidation sqref="G25" showDropDown="0" showInputMessage="0" showErrorMessage="1" allowBlank="1" errorTitle="수량 확인" error="0 이상의 정수를 입력하세요." type="whole" operator="greaterThanOrEqual">
      <formula1>0</formula1>
    </dataValidation>
    <dataValidation sqref="I25" showDropDown="0" showInputMessage="1" showErrorMessage="0" allowBlank="0" promptTitle="⑤ 검증 불량 수량" prompt=""/>
    <dataValidation sqref="I25" showDropDown="0" showInputMessage="0" showErrorMessage="1" allowBlank="1" errorTitle="수량 확인" error="0 이상의 정수를 입력하세요." type="whole" operator="greaterThanOrEqual">
      <formula1>0</formula1>
    </dataValidation>
    <dataValidation sqref="K25" showDropDown="0" showInputMessage="1" showErrorMessage="1" allowBlank="1" errorTitle="허용되지 않는 값" error="다음 중 하나여야 한다: PENDING,EFFECTIVE,INEFFECTIVE" promptTitle="⑤ 판정" prompt="품질 절차에서 정한 판정 기준에 따라 선택한다." type="list">
      <formula1>"PENDING,EFFECTIVE,INEFFECTIVE"</formula1>
    </dataValidation>
    <dataValidation sqref="K25" showDropDown="0" showInputMessage="1" showErrorMessage="0" allowBlank="0" promptTitle="⑤ 판정" prompt="판정 기준과 비교한 결론을 선택한다.&#10;기준은 해당 품질 절차에서 확인한다."/>
    <dataValidation sqref="C27" showDropDown="0" showInputMessage="1" showErrorMessage="0" allowBlank="0" promptTitle="⑤ 판정 근거" prompt="재집계 결과를 그렇게 읽은 이유.&#10;"/>
    <dataValidation sqref="E28" showDropDown="0" showInputMessage="1" showErrorMessage="0" allowBlank="0" promptTitle="⑥ 종결일" prompt=""/>
    <dataValidation sqref="C29" showDropDown="0" showInputMessage="1" showErrorMessage="0" allowBlank="0" promptTitle="⑥ 종결 의견" prompt="잔여 위험과 종결 승인 의견.&#10;"/>
  </dataValidations>
  <printOptions horizontalCentered="1"/>
  <pageMargins left="0.32" right="0.32" top="0.32" bottom="0.32" header="0.1" footer="0.1"/>
  <pageSetup orientation="portrait" paperSize="9" scale="1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627083"/>
    <outlinePr summaryBelow="1" summaryRight="1"/>
    <pageSetUpPr fitToPage="1"/>
  </sheetPr>
  <dimension ref="A1:E18"/>
  <sheetViews>
    <sheetView showGridLines="0" zoomScale="9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5" customWidth="1" min="3" max="3"/>
    <col width="20" customWidth="1" min="4" max="4"/>
    <col width="40" customWidth="1" min="5" max="5"/>
  </cols>
  <sheetData>
    <row r="1" ht="36" customHeight="1">
      <c r="A1" s="156" t="inlineStr">
        <is>
          <t>불량 근거 · 시스템 자동 기입 / 발행 시점 고정</t>
        </is>
      </c>
    </row>
    <row r="2" ht="36" customHeight="1">
      <c r="A2" s="70" t="inlineStr">
        <is>
          <t>production.unit_defects 확정 기록 · 문서번호 {{alert_code}} · 수정 금지</t>
        </is>
      </c>
    </row>
    <row r="3" ht="30" customHeight="1">
      <c r="A3" s="71" t="inlineStr">
        <is>
          <t>슬롯별 발생 분포        어느 슬롯에 몰려 있는지 · 공정 원인 판단의 1차 근거</t>
        </is>
      </c>
      <c r="B3" s="36" t="n"/>
      <c r="C3" s="36" t="n"/>
      <c r="D3" s="36" t="n"/>
      <c r="E3" s="30" t="n"/>
    </row>
    <row r="4" ht="30" customHeight="1">
      <c r="A4" s="72" t="inlineStr">
        <is>
          <t>슬롯</t>
        </is>
      </c>
      <c r="B4" s="72" t="inlineStr">
        <is>
          <t>불량 건수</t>
        </is>
      </c>
      <c r="C4" s="72" t="inlineStr">
        <is>
          <t>슬롯 불량률</t>
        </is>
      </c>
      <c r="D4" s="72" t="inlineStr">
        <is>
          <t>비고</t>
        </is>
      </c>
      <c r="E4" s="30" t="n"/>
    </row>
    <row r="5" ht="76" customHeight="1">
      <c r="A5" s="73" t="inlineStr">
        <is>
          <t>{{slot_code}}</t>
        </is>
      </c>
      <c r="B5" s="74" t="inlineStr">
        <is>
          <t>{{count}}</t>
        </is>
      </c>
      <c r="C5" s="75" t="inlineStr">
        <is>
          <t>{{slot_rate}}</t>
        </is>
      </c>
      <c r="D5" s="76" t="inlineStr">
        <is>
          <t>{{slot_note}}</t>
        </is>
      </c>
      <c r="E5" s="30" t="n"/>
    </row>
    <row r="6" ht="30" customHeight="1"/>
    <row r="7" ht="30" customHeight="1">
      <c r="A7" s="71" t="inlineStr">
        <is>
          <t>불량 유닛 목록</t>
        </is>
      </c>
      <c r="B7" s="36" t="n"/>
      <c r="C7" s="36" t="n"/>
      <c r="D7" s="36" t="n"/>
      <c r="E7" s="30" t="n"/>
    </row>
    <row r="8" ht="30" customHeight="1">
      <c r="A8" s="72" t="inlineStr">
        <is>
          <t>unit_id</t>
        </is>
      </c>
      <c r="B8" s="72" t="inlineStr">
        <is>
          <t>슬롯</t>
        </is>
      </c>
      <c r="C8" s="72" t="inlineStr">
        <is>
          <t>불량 유형</t>
        </is>
      </c>
      <c r="D8" s="72" t="inlineStr">
        <is>
          <t>검사 시각</t>
        </is>
      </c>
      <c r="E8" s="72" t="inlineStr">
        <is>
          <t>검사 이미지 경로</t>
        </is>
      </c>
    </row>
    <row r="9" ht="76" customHeight="1">
      <c r="A9" s="73" t="inlineStr">
        <is>
          <t>{{unit_id}}</t>
        </is>
      </c>
      <c r="B9" s="73" t="inlineStr">
        <is>
          <t>{{slot_code}}</t>
        </is>
      </c>
      <c r="C9" s="73" t="inlineStr">
        <is>
          <t>{{defect_type}}</t>
        </is>
      </c>
      <c r="D9" s="73" t="inlineStr">
        <is>
          <t>{{inspected_at}}</t>
        </is>
      </c>
      <c r="E9" s="76" t="inlineStr">
        <is>
          <t>{{inspection_image_path}}</t>
        </is>
      </c>
    </row>
    <row r="10" ht="30" customHeight="1"/>
    <row r="11" ht="30" customHeight="1">
      <c r="A11" s="71" t="inlineStr">
        <is>
          <t>검사 이미지</t>
        </is>
      </c>
      <c r="B11" s="36" t="n"/>
      <c r="C11" s="36" t="n"/>
      <c r="D11" s="36" t="n"/>
      <c r="E11" s="30" t="n"/>
    </row>
    <row r="12" ht="44" customHeight="1">
      <c r="A12" s="77" t="inlineStr">
        <is>
          <t>{{inspection_image_status}} · {{inspection_image_path}} · SHA-256 {{inspection_image_sha256}}</t>
        </is>
      </c>
      <c r="B12" s="36" t="n"/>
      <c r="C12" s="36" t="n"/>
      <c r="D12" s="36" t="n"/>
      <c r="E12" s="30" t="n"/>
    </row>
    <row r="13" ht="40" customHeight="1">
      <c r="A13" s="34" t="n"/>
      <c r="B13" s="78" t="n"/>
      <c r="C13" s="78" t="n"/>
      <c r="D13" s="78" t="n"/>
      <c r="E13" s="79" t="n"/>
    </row>
    <row r="14" ht="40" customHeight="1">
      <c r="A14" s="80" t="n"/>
      <c r="E14" s="81" t="n"/>
    </row>
    <row r="15" ht="40" customHeight="1">
      <c r="A15" s="80" t="n"/>
      <c r="E15" s="81" t="n"/>
    </row>
    <row r="16" ht="40" customHeight="1">
      <c r="A16" s="80" t="n"/>
      <c r="E16" s="81" t="n"/>
    </row>
    <row r="17" ht="40" customHeight="1">
      <c r="A17" s="80" t="n"/>
      <c r="E17" s="81" t="n"/>
    </row>
    <row r="18" ht="40" customHeight="1">
      <c r="A18" s="82" t="n"/>
      <c r="B18" s="83" t="n"/>
      <c r="C18" s="83" t="n"/>
      <c r="D18" s="83" t="n"/>
      <c r="E18" s="84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mergeCells count="9">
    <mergeCell ref="A12:E12"/>
    <mergeCell ref="A2:E2"/>
    <mergeCell ref="A7:E7"/>
    <mergeCell ref="D5:E5"/>
    <mergeCell ref="A11:E11"/>
    <mergeCell ref="A1:E1"/>
    <mergeCell ref="D4:E4"/>
    <mergeCell ref="A13:E18"/>
    <mergeCell ref="A3:E3"/>
  </mergeCells>
  <pageMargins left="0.32" right="0.32" top="0.45" bottom="0.45" header="0.5" footer="0.5"/>
  <pageSetup orientation="portrait" paperSize="9" fitToHeight="0" fitToWidth="1"/>
  <headerFooter>
    <oddHeader/>
    <oddFooter>&amp;L&amp;8 &amp;K627083v2 · 불량 근거&amp;R&amp;8 &amp;K627083&amp;P /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8296AD"/>
    <outlinePr summaryBelow="1" summaryRight="1"/>
    <pageSetUpPr fitToPage="0"/>
  </sheetPr>
  <dimension ref="A1:F21"/>
  <sheetViews>
    <sheetView showGridLines="0" zoomScale="9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3" customWidth="1" min="3" max="3"/>
    <col width="7" customWidth="1" min="4" max="4"/>
    <col width="10" customWidth="1" min="5" max="5"/>
    <col width="11" customWidth="1" min="6" max="6"/>
  </cols>
  <sheetData>
    <row r="1" ht="34" customHeight="1">
      <c r="A1" s="157" t="inlineStr">
        <is>
          <t>부품 검토자료 · 시스템 자동 기입</t>
        </is>
      </c>
    </row>
    <row r="2" ht="40" customHeight="1">
      <c r="A2" s="86" t="inlineStr">
        <is>
          <t>부품 범주 {{category_label}} · 데이터시트 대조 {{datasheet_match}} · 기준일 {{source_dated_on}} · 조회 {{queried_at}}</t>
        </is>
      </c>
    </row>
    <row r="3" ht="22" customHeight="1">
      <c r="A3" s="53" t="inlineStr">
        <is>
          <t>현재 부품  |  데이터시트 대조</t>
        </is>
      </c>
    </row>
    <row r="4" ht="28" customHeight="1">
      <c r="A4" s="49" t="inlineStr">
        <is>
          <t>현재 MPN</t>
        </is>
      </c>
      <c r="B4" s="49" t="inlineStr">
        <is>
          <t>핵심 정격</t>
        </is>
      </c>
      <c r="C4" s="49" t="inlineStr">
        <is>
          <t>공급사</t>
        </is>
      </c>
      <c r="D4" s="158" t="inlineStr">
        <is>
          <t>단가(USD)</t>
        </is>
      </c>
      <c r="E4" s="49" t="inlineStr">
        <is>
          <t>가격 기준 수량</t>
        </is>
      </c>
      <c r="F4" s="49" t="inlineStr">
        <is>
          <t>가격 확인일</t>
        </is>
      </c>
    </row>
    <row r="5" ht="44" customHeight="1">
      <c r="A5" s="50" t="inlineStr">
        <is>
          <t>{{selected_mpn}}</t>
        </is>
      </c>
      <c r="B5" s="50" t="inlineStr">
        <is>
          <t>{{selected_spec}}</t>
        </is>
      </c>
      <c r="C5" s="50" t="inlineStr">
        <is>
          <t>{{selected_supplier}}</t>
        </is>
      </c>
      <c r="D5" s="57" t="inlineStr">
        <is>
          <t>{{selected_unit_price}}</t>
        </is>
      </c>
      <c r="E5" s="57" t="inlineStr">
        <is>
          <t>{{selected_price_basis}}</t>
        </is>
      </c>
      <c r="F5" s="57" t="inlineStr">
        <is>
          <t>{{selected_price_checked_at}}</t>
        </is>
      </c>
    </row>
    <row r="6" ht="8" customHeight="1">
      <c r="A6" s="52" t="n"/>
      <c r="B6" s="52" t="n"/>
      <c r="C6" s="52" t="n"/>
      <c r="D6" s="52" t="n"/>
      <c r="E6" s="52" t="n"/>
      <c r="F6" s="52" t="n"/>
    </row>
    <row r="7" ht="22" customHeight="1">
      <c r="A7" s="53" t="inlineStr">
        <is>
          <t>품질 체크리스트  |  공통 기준 + 부품별 기준</t>
        </is>
      </c>
    </row>
    <row r="8" ht="28" customHeight="1">
      <c r="A8" s="49" t="inlineStr">
        <is>
          <t>구분</t>
        </is>
      </c>
      <c r="B8" s="49" t="inlineStr">
        <is>
          <t>확인 항목</t>
        </is>
      </c>
      <c r="E8" s="49" t="inlineStr">
        <is>
          <t>이상 시 조치</t>
        </is>
      </c>
    </row>
    <row r="9" ht="72" customHeight="1">
      <c r="A9" s="49" t="inlineStr">
        <is>
          <t>입고 검사</t>
        </is>
      </c>
      <c r="B9" s="159" t="inlineStr">
        <is>
          <t>{{incoming_inspection}}</t>
        </is>
      </c>
      <c r="E9" s="159" t="inlineStr">
        <is>
          <t>{{action_on_anomaly}}</t>
        </is>
      </c>
    </row>
    <row r="10" ht="78" customHeight="1">
      <c r="A10" s="49" t="inlineStr">
        <is>
          <t>조립·보관</t>
        </is>
      </c>
      <c r="B10" s="159" t="inlineStr">
        <is>
          <t>{{assembly_control}}</t>
        </is>
      </c>
    </row>
    <row r="11" ht="64" customHeight="1">
      <c r="A11" s="49" t="inlineStr">
        <is>
          <t>기능·신뢰성</t>
        </is>
      </c>
      <c r="B11" s="159" t="inlineStr">
        <is>
          <t>{{reliability_test}}</t>
        </is>
      </c>
    </row>
    <row r="12" ht="28" customHeight="1">
      <c r="A12" s="47" t="inlineStr">
        <is>
          <t>Checklist 공통·부품별 항목을 함께 조회 · 원인·적합성 판단은 관리자 작성</t>
        </is>
      </c>
    </row>
    <row r="13" ht="8" customHeight="1">
      <c r="A13" s="52" t="n"/>
      <c r="B13" s="52" t="n"/>
      <c r="C13" s="52" t="n"/>
      <c r="D13" s="52" t="n"/>
      <c r="E13" s="52" t="n"/>
      <c r="F13" s="52" t="n"/>
    </row>
    <row r="14" ht="22" customHeight="1">
      <c r="A14" s="53" t="inlineStr">
        <is>
          <t>대체품 후보  |  적합성 검증·변경 승인 후 적용</t>
        </is>
      </c>
    </row>
    <row r="15" ht="48" customHeight="1">
      <c r="A15" s="87" t="inlineStr">
        <is>
          <t>같은 부품 타입이라는 것 외에 검증된 것은 없다 · 동일 정격만으로 drop-in 판단 금지 · 핀/패키지/정격/열/수명 재검증과 변경 승인을 거친 뒤에만 적용한다.</t>
        </is>
      </c>
    </row>
    <row r="16" ht="26" customHeight="1">
      <c r="A16" s="86" t="inlineStr">
        <is>
          <t>같은 타입 후보 {{candidate_count}}종 · 단가 {{price_range}} · 현재 선정 {{price_selected}} · 호환성 미승인</t>
        </is>
      </c>
    </row>
    <row r="17" ht="30" customHeight="1">
      <c r="A17" s="49" t="inlineStr">
        <is>
          <t>제조사 / P/N</t>
        </is>
      </c>
      <c r="B17" s="49" t="inlineStr">
        <is>
          <t>핵심 정격</t>
        </is>
      </c>
      <c r="C17" s="49" t="inlineStr">
        <is>
          <t>공급사</t>
        </is>
      </c>
      <c r="D17" s="158" t="inlineStr">
        <is>
          <t>단가(USD)</t>
        </is>
      </c>
      <c r="E17" s="49" t="inlineStr">
        <is>
          <t>가격 기준 수량</t>
        </is>
      </c>
      <c r="F17" s="49" t="inlineStr">
        <is>
          <t>가격 확인일</t>
        </is>
      </c>
    </row>
    <row r="18" ht="50" customHeight="1">
      <c r="A18" s="89" t="inlineStr">
        <is>
          <t>{{manufacturer_part_number}}</t>
        </is>
      </c>
      <c r="B18" s="90" t="inlineStr">
        <is>
          <t>{{key_spec}}</t>
        </is>
      </c>
      <c r="C18" s="90" t="inlineStr">
        <is>
          <t>{{supplier}}</t>
        </is>
      </c>
      <c r="D18" s="90" t="inlineStr">
        <is>
          <t>{{unit_price}}</t>
        </is>
      </c>
      <c r="E18" s="90" t="inlineStr">
        <is>
          <t>{{price_basis}}</t>
        </is>
      </c>
      <c r="F18" s="90" t="inlineStr">
        <is>
          <t>{{price_checked_at}}</t>
        </is>
      </c>
    </row>
    <row r="19" ht="50" customHeight="1"/>
    <row r="20" ht="42" customHeight="1">
      <c r="A20" s="86" t="inlineStr">
        <is>
          <t>단가는 데이터시트 기준일의 값이고 발주 근거가 아니다. MOQ·재고·리드타임과 상호호환 판정은 이 문서에 없다 → GET /api/v1/parts/{{part_id}} 또는 구매·품질 담당</t>
        </is>
      </c>
    </row>
    <row r="21" ht="38" customHeight="1">
      <c r="A21" s="160" t="inlineStr">
        <is>
          <t>원본 {{source_file}}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0" sort="1"/>
  <mergeCells count="22">
    <mergeCell ref="A16:F16"/>
    <mergeCell ref="B11:D11"/>
    <mergeCell ref="B18:B19"/>
    <mergeCell ref="B8:D8"/>
    <mergeCell ref="A12:F12"/>
    <mergeCell ref="A3:F3"/>
    <mergeCell ref="A21:F21"/>
    <mergeCell ref="E8:F8"/>
    <mergeCell ref="F18:F19"/>
    <mergeCell ref="B10:D10"/>
    <mergeCell ref="A2:F2"/>
    <mergeCell ref="A14:F14"/>
    <mergeCell ref="B9:D9"/>
    <mergeCell ref="A20:F20"/>
    <mergeCell ref="A18:A19"/>
    <mergeCell ref="D18:D19"/>
    <mergeCell ref="E9:F11"/>
    <mergeCell ref="A15:F15"/>
    <mergeCell ref="E18:E19"/>
    <mergeCell ref="A1:F1"/>
    <mergeCell ref="C18:C19"/>
    <mergeCell ref="A7:F7"/>
  </mergeCells>
  <printOptions horizontalCentered="1"/>
  <pageMargins left="0.32" right="0.32" top="0.35" bottom="0.38" header="0.15" footer="0.17"/>
  <pageSetup orientation="portrait" paperSize="9" scale="100"/>
  <headerFooter>
    <oddHeader/>
    <oddFooter>&amp;L&amp;8 &amp;K627083v2 · 검토용&amp;R&amp;8 &amp;K627083&amp;P /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MAIN_SERVER/generate_defect_reports.py</dc:creator>
  <dc:title xmlns:dc="http://purl.org/dc/elements/1.1/">불량 대책서 v2</dc:title>
  <dc:description xmlns:dc="http://purl.org/dc/elements/1.1/">A4 한 장 대책서 검토용 v2. 상세 불량 근거와 부품 검토자료 별첨.</dc:description>
  <dc:subject xmlns:dc="http://purl.org/dc/elements/1.1/">3개 시트 통합 검토본</dc:subject>
  <dcterms:created xmlns:dcterms="http://purl.org/dc/terms/" xmlns:xsi="http://www.w3.org/2001/XMLSchema-instance" xsi:type="dcterms:W3CDTF">2026-08-19T09:00:00Z</dcterms:created>
  <dcterms:modified xmlns:dcterms="http://purl.org/dc/terms/" xmlns:xsi="http://www.w3.org/2001/XMLSchema-instance" xsi:type="dcterms:W3CDTF">2026-09-07T05:00:59Z</dcterms:modified>
</cp:coreProperties>
</file>