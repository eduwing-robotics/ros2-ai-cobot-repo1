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책서" sheetId="1" state="visible" r:id="rId1"/>
    <sheet xmlns:r="http://schemas.openxmlformats.org/officeDocument/2006/relationships" name="불량 근거" sheetId="2" state="visible" r:id="rId2"/>
    <sheet xmlns:r="http://schemas.openxmlformats.org/officeDocument/2006/relationships" name="부품 검토자료" sheetId="3" state="visible" r:id="rId3"/>
  </sheets>
  <definedNames>
    <definedName name="reply_containment_scope">'대책서'!$B$21</definedName>
    <definedName name="reply_containment">'대책서'!$B$22</definedName>
    <definedName name="reply_root_cause_label">'대책서'!$B$25</definedName>
    <definedName name="reply_root_cause">'대책서'!$B$26</definedName>
    <definedName name="reply_escape_cause">'대책서'!$B$28</definedName>
    <definedName name="reply_prevention">'대책서'!$B$31</definedName>
    <definedName name="reply_verify_period">'검증'!$B$5</definedName>
    <definedName name="reply_verify_recipe">'검증'!$D$5</definedName>
    <definedName name="reply_verify_inspected">'검증'!$E$5</definedName>
    <definedName name="reply_verify_defective">'검증'!$F$5</definedName>
    <definedName name="reply_verify_status">'검증'!$H$5</definedName>
    <definedName name="reply_verify_note">'검증'!$B$6</definedName>
    <definedName name="reply_closed_at">'검증'!$F$8</definedName>
    <definedName name="reply_closure_note">'검증'!$B$9</definedName>
    <definedName name="_xlnm.Print_Area" localSheetId="0">'대책서'!$A$1:$L$42</definedName>
    <definedName name="_xlnm.Print_Area" localSheetId="1">'불량 근거'!$A$1:$E$18</definedName>
    <definedName name="_xlnm.Print_Area" localSheetId="2">'부품 검토자료'!$A$1:$F$21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0.0&quot;배&quot;"/>
    <numFmt numFmtId="165" formatCode="0.000%"/>
  </numFmts>
  <fonts count="41">
    <font>
      <name val="Calibri"/>
      <family val="2"/>
      <color theme="1"/>
      <sz val="11"/>
      <scheme val="minor"/>
    </font>
    <font>
      <name val="맑은 고딕"/>
      <b val="1"/>
      <color rgb="00262626"/>
      <sz val="8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color rgb="00262626"/>
      <sz val="9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  <font>
      <name val="맑은 고딕"/>
      <color rgb="00263445"/>
      <sz val="10.5"/>
    </font>
    <font>
      <name val="맑은 고딕"/>
      <b val="1"/>
      <color rgb="001F3864"/>
      <sz val="22"/>
    </font>
    <font>
      <name val="맑은 고딕"/>
      <b val="1"/>
      <color rgb="001F3864"/>
      <sz val="11"/>
    </font>
    <font>
      <name val="맑은 고딕"/>
      <color rgb="00627083"/>
      <sz val="9"/>
    </font>
    <font>
      <name val="맑은 고딕"/>
      <b val="1"/>
      <color rgb="00263445"/>
      <sz val="10"/>
    </font>
    <font>
      <name val="맑은 고딕"/>
      <b val="1"/>
      <color rgb="001F3864"/>
      <sz val="10"/>
    </font>
    <font>
      <name val="맑은 고딕"/>
      <color rgb="00263445"/>
      <sz val="10"/>
    </font>
    <font>
      <name val="맑은 고딕"/>
      <b val="1"/>
      <color rgb="00FFFFFF"/>
      <sz val="11"/>
    </font>
    <font>
      <name val="맑은 고딕"/>
      <b val="1"/>
      <color rgb="001F3864"/>
      <sz val="17"/>
    </font>
    <font>
      <name val="맑은 고딕"/>
      <color rgb="00263445"/>
      <sz val="9.5"/>
    </font>
    <font>
      <name val="맑은 고딕"/>
      <b val="1"/>
      <color rgb="00263445"/>
      <sz val="10.5"/>
    </font>
    <font>
      <name val="맑은 고딕"/>
      <color rgb="00627083"/>
      <sz val="8.5"/>
    </font>
    <font>
      <name val="맑은 고딕"/>
      <b val="1"/>
      <color rgb="001F3864"/>
      <sz val="10.5"/>
    </font>
    <font>
      <name val="맑은 고딕"/>
      <color rgb="00627083"/>
      <sz val="8"/>
    </font>
    <font>
      <name val="맑은 고딕"/>
      <b val="1"/>
      <color rgb="00FFFFFF"/>
      <sz val="10"/>
    </font>
    <font>
      <name val="맑은 고딕"/>
      <color rgb="00808080"/>
      <sz val="10"/>
    </font>
    <font>
      <name val="맑은 고딕"/>
      <b val="1"/>
      <color rgb="00262626"/>
      <sz val="10"/>
    </font>
    <font>
      <name val="맑은 고딕"/>
      <color rgb="00262626"/>
      <sz val="10"/>
    </font>
    <font>
      <name val="맑은 고딕"/>
      <b val="1"/>
      <color rgb="001F3864"/>
      <sz val="18"/>
    </font>
    <font>
      <name val="맑은 고딕"/>
      <b val="1"/>
      <color rgb="001F3864"/>
      <sz val="20"/>
    </font>
    <font>
      <name val="맑은 고딕"/>
      <color rgb="00627083"/>
      <sz val="9.5"/>
    </font>
    <font>
      <name val="맑은 고딕"/>
      <b val="1"/>
      <color rgb="0080601B"/>
      <sz val="10"/>
    </font>
  </fonts>
  <fills count="1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FFF"/>
      </patternFill>
    </fill>
    <fill>
      <patternFill patternType="solid">
        <fgColor rgb="00FFF6D9"/>
      </patternFill>
    </fill>
    <fill>
      <patternFill patternType="solid">
        <fgColor rgb="00EDF2F8"/>
      </patternFill>
    </fill>
    <fill>
      <patternFill patternType="solid">
        <fgColor rgb="00FFF4D7"/>
      </patternFill>
    </fill>
    <fill>
      <patternFill patternType="solid">
        <fgColor rgb="00F5F7FA"/>
      </patternFill>
    </fill>
  </fills>
  <borders count="14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  <border>
      <left style="thin">
        <color rgb="00A6A6A6"/>
      </left>
      <right/>
      <top/>
      <bottom/>
      <diagonal/>
    </border>
    <border>
      <left/>
      <right style="thin">
        <color rgb="00A6A6A6"/>
      </right>
      <top/>
      <bottom/>
      <diagonal/>
    </border>
    <border>
      <left style="thin">
        <color rgb="00A6A6A6"/>
      </left>
      <right/>
      <top/>
      <bottom style="thin">
        <color rgb="00A6A6A6"/>
      </bottom>
      <diagonal/>
    </border>
    <border>
      <left/>
      <right/>
      <top/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0" fillId="8" borderId="1" applyAlignment="1" applyProtection="1" pivotButton="0" quotePrefix="0" xfId="0">
      <alignment horizontal="left" vertical="top" wrapText="1" indent="1"/>
      <protection locked="0" hidden="0"/>
    </xf>
    <xf numFmtId="0" fontId="1" fillId="8" borderId="1" applyAlignment="1" applyProtection="1" pivotButton="0" quotePrefix="0" xfId="0">
      <alignment horizontal="left" vertical="center" indent="1"/>
      <protection locked="0" hidden="0"/>
    </xf>
    <xf numFmtId="0" fontId="14" fillId="0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center" vertical="center"/>
      <protection locked="0" hidden="0"/>
    </xf>
    <xf numFmtId="3" fontId="4" fillId="8" borderId="1" applyAlignment="1" applyProtection="1" pivotButton="0" quotePrefix="0" xfId="0">
      <alignment horizontal="center" vertical="center"/>
      <protection locked="0" hidden="0"/>
    </xf>
    <xf numFmtId="165" fontId="4" fillId="0" borderId="1" applyAlignment="1" pivotButton="0" quotePrefix="0" xfId="0">
      <alignment horizontal="center" vertical="center"/>
    </xf>
    <xf numFmtId="0" fontId="14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6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left" vertical="top" wrapText="1" indent="1"/>
    </xf>
    <xf numFmtId="0" fontId="1" fillId="11" borderId="1" applyAlignment="1" pivotButton="0" quotePrefix="0" xfId="0">
      <alignment horizontal="right" vertical="top" wrapText="1" indent="1"/>
    </xf>
    <xf numFmtId="0" fontId="18" fillId="5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right" vertical="top" wrapText="1" indent="1"/>
    </xf>
    <xf numFmtId="0" fontId="14" fillId="0" borderId="0" applyAlignment="1" pivotButton="0" quotePrefix="0" xfId="0">
      <alignment horizontal="left" vertical="center" wrapText="1" indent="1"/>
    </xf>
    <xf numFmtId="0" fontId="20" fillId="0" borderId="0" applyAlignment="1" pivotButton="0" quotePrefix="0" xfId="0">
      <alignment horizontal="left" vertical="center" wrapText="1" indent="1"/>
    </xf>
    <xf numFmtId="0" fontId="21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3" fillId="0" borderId="0" applyAlignment="1" pivotButton="0" quotePrefix="0" xfId="0">
      <alignment horizontal="right" vertical="center" wrapText="1"/>
    </xf>
    <xf numFmtId="0" fontId="24" fillId="12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horizontal="left" vertical="center" wrapText="1" indent="1"/>
    </xf>
    <xf numFmtId="0" fontId="25" fillId="0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vertical="center" wrapText="1"/>
    </xf>
    <xf numFmtId="0" fontId="26" fillId="3" borderId="0" applyAlignment="1" pivotButton="0" quotePrefix="0" xfId="0">
      <alignment horizontal="left" vertical="center" wrapText="1" indent="1"/>
    </xf>
    <xf numFmtId="0" fontId="0" fillId="3" borderId="0" pivotButton="0" quotePrefix="0" xfId="0"/>
    <xf numFmtId="3" fontId="27" fillId="1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left" vertical="center" wrapText="1" indent="1"/>
    </xf>
    <xf numFmtId="0" fontId="19" fillId="12" borderId="0" applyAlignment="1" pivotButton="0" quotePrefix="0" xfId="0">
      <alignment horizontal="left" vertical="center" wrapText="1" indent="1"/>
    </xf>
    <xf numFmtId="0" fontId="29" fillId="8" borderId="0" applyAlignment="1" pivotButton="0" quotePrefix="0" xfId="0">
      <alignment horizontal="left" vertical="center" wrapText="1" indent="1"/>
    </xf>
    <xf numFmtId="0" fontId="0" fillId="8" borderId="0" pivotButton="0" quotePrefix="0" xfId="0"/>
    <xf numFmtId="0" fontId="25" fillId="8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left" vertical="top" wrapText="1" indent="1"/>
    </xf>
    <xf numFmtId="0" fontId="19" fillId="8" borderId="0" applyAlignment="1" pivotButton="0" quotePrefix="0" xfId="0">
      <alignment horizontal="left" vertical="center" wrapText="1" indent="1"/>
    </xf>
    <xf numFmtId="0" fontId="30" fillId="0" borderId="0" applyAlignment="1" pivotButton="0" quotePrefix="0" xfId="0">
      <alignment horizontal="left" vertical="center" wrapText="1" indent="1"/>
    </xf>
    <xf numFmtId="0" fontId="19" fillId="8" borderId="0" applyAlignment="1" pivotButton="0" quotePrefix="0" xfId="0">
      <alignment horizontal="center" vertical="center" wrapText="1"/>
    </xf>
    <xf numFmtId="3" fontId="19" fillId="8" borderId="0" applyAlignment="1" pivotButton="0" quotePrefix="0" xfId="0">
      <alignment horizontal="center" vertical="center" wrapText="1"/>
    </xf>
    <xf numFmtId="165" fontId="31" fillId="12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wrapText="1" indent="1"/>
    </xf>
    <xf numFmtId="0" fontId="37" fillId="4" borderId="0" applyAlignment="1" pivotButton="0" quotePrefix="0" xfId="0">
      <alignment horizontal="left" vertical="center" wrapText="1" indent="1"/>
    </xf>
    <xf numFmtId="0" fontId="34" fillId="0" borderId="2" applyAlignment="1" pivotButton="0" quotePrefix="0" xfId="0">
      <alignment horizontal="left" vertical="center" wrapText="1" indent="1"/>
    </xf>
    <xf numFmtId="0" fontId="35" fillId="9" borderId="1" applyAlignment="1" pivotButton="0" quotePrefix="0" xfId="0">
      <alignment horizontal="left" vertical="center" wrapText="1" indent="1"/>
    </xf>
    <xf numFmtId="0" fontId="35" fillId="9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3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 indent="1"/>
    </xf>
    <xf numFmtId="0" fontId="34" fillId="0" borderId="1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8" fillId="0" borderId="0" applyAlignment="1" pivotButton="0" quotePrefix="0" xfId="0">
      <alignment horizontal="left" vertical="center" wrapText="1" indent="1"/>
    </xf>
    <xf numFmtId="0" fontId="39" fillId="0" borderId="0" applyAlignment="1" pivotButton="0" quotePrefix="0" xfId="0">
      <alignment horizontal="left" vertical="center" wrapText="1" indent="1"/>
    </xf>
    <xf numFmtId="0" fontId="40" fillId="13" borderId="0" applyAlignment="1" pivotButton="0" quotePrefix="0" xfId="0">
      <alignment horizontal="left" vertical="center" wrapText="1" indent="1"/>
    </xf>
    <xf numFmtId="0" fontId="0" fillId="13" borderId="0" pivotButton="0" quotePrefix="0" xfId="0"/>
    <xf numFmtId="0" fontId="19" fillId="14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b val="1"/>
        <color rgb="00216348"/>
      </font>
      <fill>
        <patternFill patternType="solid">
          <fgColor rgb="00E6F2EB"/>
        </patternFill>
      </fill>
    </dxf>
    <dxf>
      <font>
        <b val="1"/>
        <color rgb="009C2A2A"/>
      </font>
      <fill>
        <patternFill patternType="solid">
          <fgColor rgb="00FCE9E9"/>
        </patternFill>
      </fill>
    </dxf>
    <dxf>
      <font>
        <b val="1"/>
        <color rgb="0080601B"/>
      </font>
      <fill>
        <patternFill patternType="solid">
          <fgColor rgb="00FFF4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User</author>
  </authors>
  <commentList>
    <comment ref="C16" authorId="0" shapeId="0">
      <text>
        <t>② 발생 원인의 핵심을 한 줄로 요약합니다.</t>
      </text>
    </comment>
    <comment ref="C21" authorId="0" shapeId="0">
      <text>
        <t>④의 상세 대책을 한두 문장으로 요약합니다. 상세 내용 변경 시 함께 갱신하세요.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5905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12</row>
      <rowOff>0</rowOff>
    </from>
    <ext cx="5905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0"/>
  </sheetPr>
  <dimension ref="A1:L42"/>
  <sheetViews>
    <sheetView showGridLines="0" zoomScale="9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.3" customWidth="1" min="1" max="1"/>
    <col width="7.3" customWidth="1" min="2" max="2"/>
    <col width="7.3" customWidth="1" min="3" max="3"/>
    <col width="7.3" customWidth="1" min="4" max="4"/>
    <col width="7.3" customWidth="1" min="5" max="5"/>
    <col width="7.3" customWidth="1" min="6" max="6"/>
    <col width="7.3" customWidth="1" min="7" max="7"/>
    <col width="7.3" customWidth="1" min="8" max="8"/>
    <col width="7.3" customWidth="1" min="9" max="9"/>
    <col width="7.3" customWidth="1" min="10" max="10"/>
    <col width="7.3" customWidth="1" min="11" max="11"/>
    <col width="7.3" customWidth="1" min="12" max="12"/>
  </cols>
  <sheetData>
    <row r="1" ht="34" customHeight="1">
      <c r="A1" s="44" t="inlineStr">
        <is>
          <t>불량 대책서</t>
        </is>
      </c>
      <c r="J1" s="45" t="inlineStr">
        <is>
          <t>v2  /  검토용</t>
        </is>
      </c>
      <c r="K1" s="46" t="n"/>
      <c r="L1" s="46" t="n"/>
    </row>
    <row r="2" ht="22" customHeight="1">
      <c r="A2" s="47" t="inlineStr">
        <is>
          <t>01  현황 · 초동 조치     /     02  원인 · 대책 · 검증 · 종결</t>
        </is>
      </c>
      <c r="J2" s="48" t="inlineStr">
        <is>
          <t>{{part_id}}</t>
        </is>
      </c>
    </row>
    <row r="3" ht="30" customHeight="1">
      <c r="A3" s="49" t="inlineStr">
        <is>
          <t>문서번호</t>
        </is>
      </c>
      <c r="B3" s="46" t="n"/>
      <c r="C3" s="50" t="inlineStr">
        <is>
          <t>{{alert_code}}</t>
        </is>
      </c>
      <c r="H3" s="49" t="inlineStr">
        <is>
          <t>발행일시</t>
        </is>
      </c>
      <c r="I3" s="46" t="n"/>
      <c r="J3" s="51" t="inlineStr">
        <is>
          <t>{{issued_at}}</t>
        </is>
      </c>
    </row>
    <row r="4" ht="34" customHeight="1">
      <c r="A4" s="49" t="inlineStr">
        <is>
          <t>대상 부품</t>
        </is>
      </c>
      <c r="B4" s="46" t="n"/>
      <c r="C4" s="50" t="inlineStr">
        <is>
          <t>{{part_id}} · {{part_name}} ({{category_label}})</t>
        </is>
      </c>
      <c r="H4" s="49" t="inlineStr">
        <is>
          <t>불량 유형</t>
        </is>
      </c>
      <c r="I4" s="46" t="n"/>
      <c r="J4" s="51" t="inlineStr">
        <is>
          <t>{{defect_type}}</t>
        </is>
      </c>
    </row>
    <row r="5" ht="28" customHeight="1">
      <c r="A5" s="49" t="inlineStr">
        <is>
          <t>주관 담당</t>
        </is>
      </c>
      <c r="B5" s="46" t="n"/>
      <c r="C5" s="50" t="inlineStr">
        <is>
          <t>{{assignee}}</t>
        </is>
      </c>
      <c r="H5" s="49" t="inlineStr">
        <is>
          <t>협조 부서</t>
        </is>
      </c>
      <c r="I5" s="46" t="n"/>
      <c r="J5" s="51" t="inlineStr">
        <is>
          <t>{{support_teams}}</t>
        </is>
      </c>
    </row>
    <row r="6" ht="32" customHeight="1">
      <c r="A6" s="49" t="inlineStr">
        <is>
          <t>발행 대상</t>
        </is>
      </c>
      <c r="B6" s="46" t="n"/>
      <c r="C6" s="50" t="inlineStr">
        <is>
          <t>Job {{job_id}} · Unit {{target_unit_id}} · {{target_slot_code}}</t>
        </is>
      </c>
      <c r="H6" s="49" t="inlineStr">
        <is>
          <t>검사 시각</t>
        </is>
      </c>
      <c r="I6" s="46" t="n"/>
      <c r="J6" s="51" t="inlineStr">
        <is>
          <t>{{target_inspected_at}}</t>
        </is>
      </c>
    </row>
    <row r="7" ht="40" customHeight="1">
      <c r="A7" s="49" t="inlineStr">
        <is>
          <t xml:space="preserve">  {{alert_status}}     회신 기한   ①  {{due_initial}}     ②③  {{due_cause}}     ④  {{due_action}}     ⑤⑥ 「대책서」 2쪽</t>
        </is>
      </c>
      <c r="B7" s="46" t="n"/>
      <c r="C7" s="46" t="n"/>
      <c r="D7" s="46" t="n"/>
      <c r="E7" s="46" t="n"/>
      <c r="F7" s="46" t="n"/>
      <c r="G7" s="46" t="n"/>
      <c r="H7" s="46" t="n"/>
      <c r="I7" s="46" t="n"/>
      <c r="J7" s="46" t="n"/>
      <c r="K7" s="46" t="n"/>
      <c r="L7" s="46" t="n"/>
    </row>
    <row r="8" ht="8" customHeight="1">
      <c r="A8" s="52" t="n"/>
      <c r="B8" s="52" t="n"/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</row>
    <row r="9" ht="22" customHeight="1">
      <c r="A9" s="53" t="inlineStr">
        <is>
          <t>불량 현황  |  발행 시점과 대책 적용 후 비교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54" t="n"/>
      <c r="L9" s="54" t="n"/>
    </row>
    <row r="10" ht="22" customHeight="1">
      <c r="A10" s="49" t="inlineStr">
        <is>
          <t>검사 수량</t>
        </is>
      </c>
      <c r="B10" s="46" t="n"/>
      <c r="C10" s="46" t="n"/>
      <c r="D10" s="49" t="inlineStr">
        <is>
          <t>불량 수량</t>
        </is>
      </c>
      <c r="E10" s="46" t="n"/>
      <c r="F10" s="46" t="n"/>
      <c r="G10" s="49" t="inlineStr">
        <is>
          <t>발행 시점 PPM</t>
        </is>
      </c>
      <c r="H10" s="46" t="n"/>
      <c r="I10" s="46" t="n"/>
      <c r="J10" s="49" t="inlineStr">
        <is>
          <t>검증 PPM</t>
        </is>
      </c>
      <c r="K10" s="46" t="n"/>
      <c r="L10" s="46" t="n"/>
    </row>
    <row r="11" ht="36" customHeight="1">
      <c r="A11" s="55" t="inlineStr">
        <is>
          <t>{{inspected_quantity}}</t>
        </is>
      </c>
      <c r="B11" s="46" t="n"/>
      <c r="C11" s="46" t="n"/>
      <c r="D11" s="55" t="inlineStr">
        <is>
          <t>{{defective_quantity}}</t>
        </is>
      </c>
      <c r="E11" s="46" t="n"/>
      <c r="F11" s="46" t="n"/>
      <c r="G11" s="55" t="inlineStr">
        <is>
          <t>{{defect_ppm}}</t>
        </is>
      </c>
      <c r="H11" s="46" t="n"/>
      <c r="I11" s="46" t="n"/>
      <c r="J11" s="55">
        <f>IF(AND(ISNUMBER(F34),ISNUMBER(H34),F34&gt;0),H34/F34*1000000,"")</f>
        <v/>
      </c>
      <c r="K11" s="46" t="n"/>
      <c r="L11" s="46" t="n"/>
    </row>
    <row r="12" ht="34" customHeight="1">
      <c r="A12" s="49" t="inlineStr">
        <is>
          <t>집계 기간</t>
        </is>
      </c>
      <c r="B12" s="46" t="n"/>
      <c r="C12" s="51" t="inlineStr">
        <is>
          <t>{{period_start}} ~ {{period_end}} ({{window_days}}일 / {{evaluation_mode}})</t>
        </is>
      </c>
      <c r="H12" s="49" t="inlineStr">
        <is>
          <t>레시피</t>
        </is>
      </c>
      <c r="I12" s="46" t="n"/>
      <c r="J12" s="51" t="inlineStr">
        <is>
          <t>{{source_recipe_version}}</t>
        </is>
      </c>
    </row>
    <row r="13" ht="32" customHeight="1">
      <c r="A13" s="49" t="inlineStr">
        <is>
          <t>발생 위치</t>
        </is>
      </c>
      <c r="B13" s="46" t="n"/>
      <c r="C13" s="51" t="inlineStr">
        <is>
          <t>{{hotspot}}</t>
        </is>
      </c>
      <c r="H13" s="49" t="inlineStr">
        <is>
          <t>발행 기준</t>
        </is>
      </c>
      <c r="I13" s="46" t="n"/>
      <c r="J13" s="51" t="inlineStr">
        <is>
          <t>{{vs_threshold_ratio}}</t>
        </is>
      </c>
    </row>
    <row r="14" ht="42" customHeight="1">
      <c r="A14" s="49" t="inlineStr">
        <is>
          <t>완제품 영향</t>
        </is>
      </c>
      <c r="B14" s="46" t="n"/>
      <c r="C14" s="51" t="inlineStr">
        <is>
          <t>{{unit_impact}}</t>
        </is>
      </c>
      <c r="F14" s="49" t="inlineStr">
        <is>
          <t>제조사 P/N</t>
        </is>
      </c>
      <c r="G14" s="46" t="n"/>
      <c r="H14" s="56" t="inlineStr">
        <is>
          <t>{{datasheet_match}} · {{selected_mpn}}
정격 {{selected_spec}} · 공급사 {{selected_supplier}}</t>
        </is>
      </c>
    </row>
    <row r="15" ht="56" customHeight="1">
      <c r="A15" s="49" t="inlineStr">
        <is>
          <t>자동 분석</t>
        </is>
      </c>
      <c r="B15" s="46" t="n"/>
      <c r="C15" s="57" t="inlineStr">
        <is>
          <t>{{auto_analysis}}</t>
        </is>
      </c>
      <c r="D15" s="46" t="n"/>
      <c r="E15" s="46" t="n"/>
      <c r="F15" s="46" t="n"/>
      <c r="G15" s="46" t="n"/>
      <c r="H15" s="46" t="n"/>
      <c r="I15" s="46" t="n"/>
      <c r="J15" s="46" t="n"/>
      <c r="K15" s="46" t="n"/>
      <c r="L15" s="46" t="n"/>
    </row>
    <row r="16" ht="34" customHeight="1">
      <c r="A16" s="49" t="inlineStr">
        <is>
          <t>핵심 원인</t>
        </is>
      </c>
      <c r="B16" s="46" t="n"/>
      <c r="C16" s="58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</row>
    <row r="17" ht="8" customHeight="1">
      <c r="A17" s="52" t="n"/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</row>
    <row r="18" ht="22" customHeight="1">
      <c r="A18" s="53" t="inlineStr">
        <is>
          <t>① 초동 조치  |  확산 방지와 영향 범위</t>
        </is>
      </c>
      <c r="B18" s="54" t="n"/>
      <c r="C18" s="54" t="n"/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</row>
    <row r="19" ht="32" customHeight="1">
      <c r="A19" s="60" t="inlineStr">
        <is>
          <t>협조 필요    ☐ 생산 중단    ☐ 출하 보류    ☐ 재고 선별    ☐ 고객 통보    ☐ 설비 정지</t>
        </is>
      </c>
      <c r="B19" s="59" t="n"/>
      <c r="C19" s="59" t="n"/>
      <c r="D19" s="59" t="n"/>
      <c r="E19" s="59" t="n"/>
      <c r="F19" s="59" t="n"/>
      <c r="G19" s="59" t="n"/>
      <c r="H19" s="59" t="n"/>
      <c r="I19" s="59" t="n"/>
      <c r="J19" s="59" t="n"/>
      <c r="K19" s="59" t="n"/>
      <c r="L19" s="59" t="n"/>
    </row>
    <row r="20" ht="100" customHeight="1">
      <c r="A20" s="61" t="n"/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59" t="n"/>
      <c r="L20" s="59" t="n"/>
    </row>
    <row r="21" ht="26" customHeight="1">
      <c r="A21" s="49" t="inlineStr">
        <is>
          <t>대책 요약</t>
        </is>
      </c>
      <c r="B21" s="46" t="n"/>
      <c r="C21" s="62" t="n"/>
      <c r="D21" s="59" t="n"/>
      <c r="E21" s="59" t="n"/>
      <c r="F21" s="59" t="n"/>
      <c r="G21" s="59" t="n"/>
      <c r="H21" s="59" t="n"/>
      <c r="I21" s="59" t="n"/>
      <c r="J21" s="59" t="n"/>
      <c r="K21" s="59" t="n"/>
      <c r="L21" s="59" t="n"/>
    </row>
    <row r="22" ht="50" customHeight="1">
      <c r="A22" s="46" t="n"/>
      <c r="B22" s="46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</row>
    <row r="23" ht="16" customHeight="1">
      <c r="A23" s="63" t="inlineStr">
        <is>
          <t>작성 안내: 연노랑은 담당자 입력 · 파랑은 현황/계산 · 상세 원인부터 종결까지 다음 페이지에 이어집니다.</t>
        </is>
      </c>
    </row>
    <row r="24" ht="28" customHeight="1">
      <c r="A24" s="53" t="inlineStr">
        <is>
          <t>불량 대책서  |  원인 · 대책 · 검증 · 종결</t>
        </is>
      </c>
      <c r="B24" s="54" t="n"/>
      <c r="C24" s="54" t="n"/>
      <c r="D24" s="54" t="n"/>
      <c r="E24" s="54" t="n"/>
      <c r="F24" s="54" t="n"/>
      <c r="G24" s="54" t="n"/>
      <c r="H24" s="54" t="n"/>
      <c r="I24" s="54" t="n"/>
      <c r="J24" s="54" t="n"/>
      <c r="K24" s="54" t="n"/>
      <c r="L24" s="54" t="n"/>
    </row>
    <row r="25" ht="22" customHeight="1">
      <c r="A25" s="47">
        <f>C3&amp;"  ·  "&amp;C4&amp;"  /  "&amp;J4</f>
        <v/>
      </c>
    </row>
    <row r="26" ht="22" customHeight="1">
      <c r="A26" s="53" t="inlineStr">
        <is>
          <t>② 발생 원인  |  재현·실물 확인 근거</t>
        </is>
      </c>
      <c r="B26" s="54" t="n"/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  <c r="L26" s="54" t="n"/>
    </row>
    <row r="27" ht="84" customHeight="1">
      <c r="A27" s="61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</row>
    <row r="28" ht="22" customHeight="1">
      <c r="A28" s="53" t="inlineStr">
        <is>
          <t>③ 유출 원인  |  검사·판정 기준의 한계</t>
        </is>
      </c>
      <c r="B28" s="54" t="n"/>
      <c r="C28" s="54" t="n"/>
      <c r="D28" s="54" t="n"/>
      <c r="E28" s="54" t="n"/>
      <c r="F28" s="54" t="n"/>
      <c r="G28" s="54" t="n"/>
      <c r="H28" s="54" t="n"/>
      <c r="I28" s="54" t="n"/>
      <c r="J28" s="54" t="n"/>
      <c r="K28" s="54" t="n"/>
      <c r="L28" s="54" t="n"/>
    </row>
    <row r="29" ht="70" customHeight="1">
      <c r="A29" s="61" t="n"/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</row>
    <row r="30" ht="22" customHeight="1">
      <c r="A30" s="53" t="inlineStr">
        <is>
          <t>④ 재발방지 대책  |  적용 내용 · 담당 · 일정 · 수평전개</t>
        </is>
      </c>
      <c r="B30" s="54" t="n"/>
      <c r="C30" s="54" t="n"/>
      <c r="D30" s="54" t="n"/>
      <c r="E30" s="54" t="n"/>
      <c r="F30" s="54" t="n"/>
      <c r="G30" s="54" t="n"/>
      <c r="H30" s="54" t="n"/>
      <c r="I30" s="54" t="n"/>
      <c r="J30" s="54" t="n"/>
      <c r="K30" s="54" t="n"/>
      <c r="L30" s="54" t="n"/>
    </row>
    <row r="31" ht="84" customHeight="1">
      <c r="A31" s="61" t="n"/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59" t="n"/>
      <c r="L31" s="59" t="n"/>
    </row>
    <row r="32" ht="22" customHeight="1">
      <c r="A32" s="53" t="inlineStr">
        <is>
          <t>⑤ 효과 검증  |  {{due_verify}}</t>
        </is>
      </c>
      <c r="B32" s="54" t="n"/>
      <c r="C32" s="54" t="n"/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</row>
    <row r="33" ht="26" customHeight="1">
      <c r="A33" s="49" t="inlineStr">
        <is>
          <t>검증 기간</t>
        </is>
      </c>
      <c r="B33" s="46" t="n"/>
      <c r="C33" s="46" t="n"/>
      <c r="D33" s="49" t="inlineStr">
        <is>
          <t>적용 레시피</t>
        </is>
      </c>
      <c r="E33" s="46" t="n"/>
      <c r="F33" s="49" t="inlineStr">
        <is>
          <t>검사 수량</t>
        </is>
      </c>
      <c r="G33" s="46" t="n"/>
      <c r="H33" s="49" t="inlineStr">
        <is>
          <t>불량 수량</t>
        </is>
      </c>
      <c r="I33" s="46" t="n"/>
      <c r="J33" s="49" t="inlineStr">
        <is>
          <t>판정</t>
        </is>
      </c>
      <c r="K33" s="46" t="n"/>
      <c r="L33" s="46" t="n"/>
    </row>
    <row r="34" ht="32" customHeight="1">
      <c r="A34" s="64" t="n"/>
      <c r="B34" s="59" t="n"/>
      <c r="C34" s="59" t="n"/>
      <c r="D34" s="64" t="n"/>
      <c r="E34" s="59" t="n"/>
      <c r="F34" s="65" t="n"/>
      <c r="G34" s="59" t="n"/>
      <c r="H34" s="65" t="n"/>
      <c r="I34" s="59" t="n"/>
      <c r="J34" s="64" t="inlineStr">
        <is>
          <t>PENDING</t>
        </is>
      </c>
      <c r="K34" s="59" t="n"/>
      <c r="L34" s="59" t="n"/>
    </row>
    <row r="35" ht="24" customHeight="1">
      <c r="A35" s="49" t="inlineStr">
        <is>
          <t>검증 불량률</t>
        </is>
      </c>
      <c r="B35" s="46" t="n"/>
      <c r="C35" s="46" t="n"/>
      <c r="D35" s="66">
        <f>IF(AND(ISNUMBER(F34),ISNUMBER(H34),F34&gt;0),H34/F34,"")</f>
        <v/>
      </c>
      <c r="E35" s="46" t="n"/>
      <c r="F35" s="47" t="inlineStr">
        <is>
          <t>판정 근거는 아래에 작성합니다. 수량은 부품 검사 건수 기준입니다.</t>
        </is>
      </c>
    </row>
    <row r="36" ht="48" customHeight="1">
      <c r="A36" s="61" t="n"/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  <c r="K36" s="59" t="n"/>
      <c r="L36" s="59" t="n"/>
    </row>
    <row r="37" ht="22" customHeight="1">
      <c r="A37" s="53" t="inlineStr">
        <is>
          <t>⑥ 종결 판정</t>
        </is>
      </c>
      <c r="B37" s="54" t="n"/>
      <c r="C37" s="54" t="n"/>
      <c r="D37" s="54" t="n"/>
      <c r="E37" s="54" t="n"/>
      <c r="F37" s="54" t="n"/>
      <c r="G37" s="54" t="n"/>
      <c r="H37" s="54" t="n"/>
      <c r="I37" s="54" t="n"/>
      <c r="J37" s="54" t="n"/>
      <c r="K37" s="54" t="n"/>
      <c r="L37" s="54" t="n"/>
    </row>
    <row r="38" ht="28" customHeight="1">
      <c r="A38" s="49" t="inlineStr">
        <is>
          <t>종결일</t>
        </is>
      </c>
      <c r="B38" s="46" t="n"/>
      <c r="C38" s="62" t="n"/>
      <c r="D38" s="59" t="n"/>
      <c r="E38" s="59" t="n"/>
      <c r="F38" s="59" t="n"/>
      <c r="G38" s="47" t="inlineStr">
        <is>
          <t>잔여 위험과 이관 사항을 종결 의견에 기록</t>
        </is>
      </c>
    </row>
    <row r="39" ht="56" customHeight="1">
      <c r="A39" s="61" t="n"/>
      <c r="B39" s="59" t="n"/>
      <c r="C39" s="59" t="n"/>
      <c r="D39" s="59" t="n"/>
      <c r="E39" s="59" t="n"/>
      <c r="F39" s="59" t="n"/>
      <c r="G39" s="59" t="n"/>
      <c r="H39" s="59" t="n"/>
      <c r="I39" s="59" t="n"/>
      <c r="J39" s="59" t="n"/>
      <c r="K39" s="59" t="n"/>
      <c r="L39" s="59" t="n"/>
    </row>
    <row r="40" ht="20" customHeight="1">
      <c r="A40" s="49" t="inlineStr">
        <is>
          <t>작성</t>
        </is>
      </c>
      <c r="B40" s="46" t="n"/>
      <c r="C40" s="46" t="n"/>
      <c r="D40" s="46" t="n"/>
      <c r="E40" s="49" t="inlineStr">
        <is>
          <t>검토</t>
        </is>
      </c>
      <c r="F40" s="46" t="n"/>
      <c r="G40" s="46" t="n"/>
      <c r="H40" s="46" t="n"/>
      <c r="I40" s="49" t="inlineStr">
        <is>
          <t>승인</t>
        </is>
      </c>
      <c r="J40" s="46" t="n"/>
      <c r="K40" s="46" t="n"/>
      <c r="L40" s="46" t="n"/>
    </row>
    <row r="41" ht="32" customHeight="1">
      <c r="A41" s="62" t="n"/>
      <c r="B41" s="59" t="n"/>
      <c r="C41" s="59" t="n"/>
      <c r="D41" s="59" t="n"/>
      <c r="E41" s="62" t="n"/>
      <c r="F41" s="59" t="n"/>
      <c r="G41" s="59" t="n"/>
      <c r="H41" s="59" t="n"/>
      <c r="I41" s="62" t="n"/>
      <c r="J41" s="59" t="n"/>
      <c r="K41" s="59" t="n"/>
      <c r="L41" s="59" t="n"/>
    </row>
    <row r="42" ht="16" customHeight="1">
      <c r="A42" s="67" t="inlineStr">
        <is>
          <t>검토용 v2 · 자동 발행 시스템 채택 전 검토본 · 입력 칸을 클릭하면 작성 요령을 볼 수 있습니다.</t>
        </is>
      </c>
    </row>
  </sheetData>
  <mergeCells count="87">
    <mergeCell ref="D11:F11"/>
    <mergeCell ref="A15:B15"/>
    <mergeCell ref="A37:L37"/>
    <mergeCell ref="C5:G5"/>
    <mergeCell ref="A21:B22"/>
    <mergeCell ref="J11:L11"/>
    <mergeCell ref="A26:L26"/>
    <mergeCell ref="C4:G4"/>
    <mergeCell ref="A2:I2"/>
    <mergeCell ref="I40:L40"/>
    <mergeCell ref="A23:L23"/>
    <mergeCell ref="J3:L3"/>
    <mergeCell ref="A41:D41"/>
    <mergeCell ref="A34:C34"/>
    <mergeCell ref="H13:I13"/>
    <mergeCell ref="D33:E33"/>
    <mergeCell ref="J13:L13"/>
    <mergeCell ref="A36:L36"/>
    <mergeCell ref="D35:E35"/>
    <mergeCell ref="D34:E34"/>
    <mergeCell ref="F34:G34"/>
    <mergeCell ref="H34:I34"/>
    <mergeCell ref="A32:L32"/>
    <mergeCell ref="F33:G33"/>
    <mergeCell ref="C15:L15"/>
    <mergeCell ref="J2:L2"/>
    <mergeCell ref="J33:L33"/>
    <mergeCell ref="C12:G12"/>
    <mergeCell ref="A31:L31"/>
    <mergeCell ref="I41:L41"/>
    <mergeCell ref="C16:L16"/>
    <mergeCell ref="H3:I3"/>
    <mergeCell ref="J5:L5"/>
    <mergeCell ref="A24:L24"/>
    <mergeCell ref="H12:I12"/>
    <mergeCell ref="E40:H40"/>
    <mergeCell ref="A1:I1"/>
    <mergeCell ref="H5:I5"/>
    <mergeCell ref="G38:L38"/>
    <mergeCell ref="J6:L6"/>
    <mergeCell ref="G10:I10"/>
    <mergeCell ref="A25:L25"/>
    <mergeCell ref="J4:L4"/>
    <mergeCell ref="A18:L18"/>
    <mergeCell ref="A42:L42"/>
    <mergeCell ref="C21:L22"/>
    <mergeCell ref="A3:B3"/>
    <mergeCell ref="A12:B12"/>
    <mergeCell ref="A20:L20"/>
    <mergeCell ref="A29:L29"/>
    <mergeCell ref="A5:B5"/>
    <mergeCell ref="A14:B14"/>
    <mergeCell ref="A4:B4"/>
    <mergeCell ref="A38:B38"/>
    <mergeCell ref="J1:L1"/>
    <mergeCell ref="C14:E14"/>
    <mergeCell ref="J10:L10"/>
    <mergeCell ref="F35:L35"/>
    <mergeCell ref="F14:G14"/>
    <mergeCell ref="J34:L34"/>
    <mergeCell ref="C13:G13"/>
    <mergeCell ref="A7:L7"/>
    <mergeCell ref="C6:G6"/>
    <mergeCell ref="C38:F38"/>
    <mergeCell ref="H4:I4"/>
    <mergeCell ref="A27:L27"/>
    <mergeCell ref="E41:H41"/>
    <mergeCell ref="A6:B6"/>
    <mergeCell ref="A40:D40"/>
    <mergeCell ref="A16:B16"/>
    <mergeCell ref="A33:C33"/>
    <mergeCell ref="H6:I6"/>
    <mergeCell ref="J12:L12"/>
    <mergeCell ref="A35:C35"/>
    <mergeCell ref="A10:C10"/>
    <mergeCell ref="A19:L19"/>
    <mergeCell ref="A28:L28"/>
    <mergeCell ref="A9:L9"/>
    <mergeCell ref="A39:L39"/>
    <mergeCell ref="D10:F10"/>
    <mergeCell ref="G11:I11"/>
    <mergeCell ref="A30:L30"/>
    <mergeCell ref="A11:C11"/>
    <mergeCell ref="H33:I33"/>
    <mergeCell ref="A13:B13"/>
    <mergeCell ref="H14:L14"/>
    <mergeCell ref="C3:G3"/>
  </mergeCells>
  <conditionalFormatting sqref="J34:L34">
    <cfRule type="cellIs" priority="1" operator="equal" dxfId="0">
      <formula>"EFFECTIVE"</formula>
    </cfRule>
    <cfRule type="cellIs" priority="2" operator="equal" dxfId="1">
      <formula>"INEFFECTIVE"</formula>
    </cfRule>
    <cfRule type="cellIs" priority="3" operator="equal" dxfId="2">
      <formula>"PENDING"</formula>
    </cfRule>
  </conditionalFormatting>
  <dataValidations count="17">
    <dataValidation sqref="J4" showDropDown="0" showInputMessage="1" showErrorMessage="1" allowBlank="1" errorTitle="허용되지 않는 값" error="다음 중 하나여야 한다: MISSING,POSITION_ERROR,ORIENTATION_ERROR,CRACK" promptTitle="불량 유형" prompt="참고 시트 2개은 유형과 무관하게 항상 첨부한다.&#10;어느 자료가 이번 건에 쓸모 있는지는 담당자가 판단한다." type="list">
      <formula1>"MISSING,POSITION_ERROR,ORIENTATION_ERROR,CRACK"</formula1>
    </dataValidation>
    <dataValidation sqref="A19" showDropDown="0" showInputMessage="1" showErrorMessage="0" allowBlank="0" promptTitle="① 협조가 필요한 조치" prompt="담당자 혼자 결정할 수 없는 항목이다. 해당하는 것의 ☐ 를 ☑ 로 바꾸고,&#10;아래 칸에 누구에게 언제 요청했는지 적는다.&#10;&#10;생산 중단 → 생산팀장 · 출하 보류 → 영업/물류 · 재고 선별 → 인력 투입 승인&#10;고객 통보 → 품질보증 책임자 · 설비 정지 → 설비팀&#10;"/>
    <dataValidation sqref="A20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"/>
    <dataValidation sqref="C16" showDropDown="0" showInputMessage="1" showErrorMessage="0" allowBlank="0" promptTitle="② 발생 원인 — 한 줄 요약 (40자)" prompt="아래 본문을 한 줄로 줄인 것. 예: '배치 하강속도 상향 + 지지 핀 최원거리 슬롯'&#10;본문은 길어서 이 칸에 들어가지 않으므로 핵심 원인만 적는다."/>
    <dataValidation sqref="A27" showDropDown="0" showInputMessage="1" showErrorMessage="0" allowBlank="0" promptTitle="② 발생 원인 — 왜 만들어졌는가" prompt="「불량 근거」의 발생 기록과 검사 이미지를 확인한다.&#10;재현 또는 실물 확인으로 검증한 근거를 적는다.&#10;가설이면 '가설'이라고 표시한다.&#10;"/>
    <dataValidation sqref="A29" showDropDown="0" showInputMessage="1" showErrorMessage="0" allowBlank="0" promptTitle="③ 유출 원인 — 왜 검사에서 걸리지 않았는가" prompt="「부품 검토자료」의 데이터시트 검사 항목과 대조해 판정 기준의 한계를 적는다.&#10;검사를 안 한 것인지, 했는데 못 걸른 것인지 구분한다.&#10;"/>
    <dataValidation sqref="A31" showDropDown="0" showInputMessage="1" showErrorMessage="0" allowBlank="0" promptTitle="④ 재발방지 대책 — 원인을 제거하는 영구대책" prompt="레시피·공정조건을 바꾸면 변경 후 recipe_version을 적는다.&#10;부품을 바꾸면 「부품 검토자료」의 대체품 영역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"/>
    <dataValidation sqref="A34" showDropDown="0" showInputMessage="1" showErrorMessage="0" allowBlank="0" promptTitle="⑤ 검증 기간" prompt="대책을 적용하고 다시 집계한 구간. [시작, 끝) 으로 적는다.&#10;"/>
    <dataValidation sqref="D34" showDropDown="0" showInputMessage="1" showErrorMessage="0" allowBlank="0" promptTitle="⑤ 적용 레시피" prompt="대책을 적용한 뒤 실행한 recipe_version.&#10;이 값이 있어야 적용 전후를 같은 제품 안에서 비교할 수 있다.&#10;"/>
    <dataValidation sqref="F34" showDropDown="0" showInputMessage="1" showErrorMessage="0" allowBlank="0" promptTitle="⑤ 검증 검사 수량" prompt="부품 기준 검사 건수 (유닛 수 × 해당 부품 슬롯 수).&#10;"/>
    <dataValidation sqref="H34" showDropDown="0" showInputMessage="1" showErrorMessage="0" allowBlank="0" promptTitle="⑤ 검증 불량 수량" prompt=""/>
    <dataValidation sqref="J34" showDropDown="0" showInputMessage="1" showErrorMessage="1" allowBlank="1" errorTitle="허용되지 않는 값" error="다음 중 하나여야 한다: PENDING,EFFECTIVE,INEFFECTIVE" promptTitle="⑤ 판정" prompt="품질 절차에서 정한 판정 기준에 따라 선택한다." type="list">
      <formula1>"PENDING,EFFECTIVE,INEFFECTIVE"</formula1>
    </dataValidation>
    <dataValidation sqref="J34" showDropDown="0" showInputMessage="1" showErrorMessage="0" allowBlank="0" promptTitle="⑤ 판정" prompt="판정 기준과 비교한 결론을 선택한다.&#10;기준은 해당 품질 절차에서 확인한다."/>
    <dataValidation sqref="A36" showDropDown="0" showInputMessage="1" showErrorMessage="0" allowBlank="0" promptTitle="⑤ 판정 근거" prompt="재집계 결과를 그렇게 읽은 이유.&#10;"/>
    <dataValidation sqref="C38" showDropDown="0" showInputMessage="1" showErrorMessage="0" allowBlank="0" promptTitle="⑥ 종결일" prompt=""/>
    <dataValidation sqref="A39" showDropDown="0" showInputMessage="1" showErrorMessage="0" allowBlank="0" promptTitle="⑥ 종결 의견" prompt="잔여 위험과 종결 승인 의견.&#10;"/>
    <dataValidation sqref="F34 H34" showDropDown="0" showInputMessage="0" showErrorMessage="1" allowBlank="1" errorTitle="수량 확인" error="0 이상의 정수를 입력하세요." type="whole" operator="greaterThanOrEqual">
      <formula1>0</formula1>
    </dataValidation>
  </dataValidations>
  <printOptions horizontalCentered="1"/>
  <pageMargins left="0.32" right="0.32" top="0.35" bottom="0.38" header="0.15" footer="0.17"/>
  <pageSetup orientation="portrait" paperSize="9" scale="100"/>
  <headerFooter>
    <oddHeader/>
    <oddFooter>&amp;L&amp;8 &amp;K627083v2 · 검토용&amp;R&amp;8 &amp;K627083&amp;P / &amp;N</oddFooter>
    <evenHeader/>
    <evenFooter/>
    <firstHeader/>
    <firstFooter/>
  </headerFooter>
  <rowBreaks count="1" manualBreakCount="1">
    <brk id="23" min="0" max="16383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627083"/>
    <outlinePr summaryBelow="1" summaryRight="1"/>
    <pageSetUpPr fitToPage="1"/>
  </sheetPr>
  <dimension ref="A1:E18"/>
  <sheetViews>
    <sheetView showGridLines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36" customHeight="1">
      <c r="A1" s="68" t="inlineStr">
        <is>
          <t>불량 근거  |  발행 시점 고정</t>
        </is>
      </c>
    </row>
    <row r="2" ht="36" customHeight="1">
      <c r="A2" s="69" t="inlineStr">
        <is>
          <t>production.unit_defects 확정 기록 · 문서번호 {{alert_code}} · 수정 금지</t>
        </is>
      </c>
    </row>
    <row r="3" ht="30" customHeight="1">
      <c r="A3" s="70" t="inlineStr">
        <is>
          <t>슬롯별 발생 분포        어느 슬롯에 몰려 있는지 · 공정 원인 판단의 1차 근거</t>
        </is>
      </c>
      <c r="B3" s="36" t="n"/>
      <c r="C3" s="36" t="n"/>
      <c r="D3" s="36" t="n"/>
      <c r="E3" s="30" t="n"/>
    </row>
    <row r="4" ht="30" customHeight="1">
      <c r="A4" s="71" t="inlineStr">
        <is>
          <t>슬롯</t>
        </is>
      </c>
      <c r="B4" s="71" t="inlineStr">
        <is>
          <t>불량 건수</t>
        </is>
      </c>
      <c r="C4" s="71" t="inlineStr">
        <is>
          <t>슬롯 불량률</t>
        </is>
      </c>
      <c r="D4" s="71" t="inlineStr">
        <is>
          <t>비고</t>
        </is>
      </c>
      <c r="E4" s="30" t="n"/>
    </row>
    <row r="5" ht="30" customHeight="1">
      <c r="A5" s="72" t="inlineStr">
        <is>
          <t>{{slot_code}}</t>
        </is>
      </c>
      <c r="B5" s="73" t="inlineStr">
        <is>
          <t>{{count}}</t>
        </is>
      </c>
      <c r="C5" s="74" t="inlineStr">
        <is>
          <t>{{slot_rate}}</t>
        </is>
      </c>
      <c r="D5" s="75" t="inlineStr">
        <is>
          <t>{{slot_note}}</t>
        </is>
      </c>
      <c r="E5" s="30" t="n"/>
    </row>
    <row r="6" ht="30" customHeight="1"/>
    <row r="7" ht="30" customHeight="1">
      <c r="A7" s="70" t="inlineStr">
        <is>
          <t>불량 유닛 목록</t>
        </is>
      </c>
      <c r="B7" s="36" t="n"/>
      <c r="C7" s="36" t="n"/>
      <c r="D7" s="36" t="n"/>
      <c r="E7" s="30" t="n"/>
    </row>
    <row r="8" ht="30" customHeight="1">
      <c r="A8" s="71" t="inlineStr">
        <is>
          <t>unit_id</t>
        </is>
      </c>
      <c r="B8" s="71" t="inlineStr">
        <is>
          <t>슬롯</t>
        </is>
      </c>
      <c r="C8" s="71" t="inlineStr">
        <is>
          <t>불량 유형</t>
        </is>
      </c>
      <c r="D8" s="71" t="inlineStr">
        <is>
          <t>검사 시각</t>
        </is>
      </c>
      <c r="E8" s="71" t="inlineStr">
        <is>
          <t>검사 이미지 경로</t>
        </is>
      </c>
    </row>
    <row r="9" ht="30" customHeight="1">
      <c r="A9" s="72" t="inlineStr">
        <is>
          <t>{{unit_id}}</t>
        </is>
      </c>
      <c r="B9" s="72" t="inlineStr">
        <is>
          <t>{{slot_code}}</t>
        </is>
      </c>
      <c r="C9" s="72" t="inlineStr">
        <is>
          <t>{{defect_type}}</t>
        </is>
      </c>
      <c r="D9" s="72" t="inlineStr">
        <is>
          <t>{{inspected_at}}</t>
        </is>
      </c>
      <c r="E9" s="75" t="inlineStr">
        <is>
          <t>{{inspection_image_path}}</t>
        </is>
      </c>
    </row>
    <row r="10" ht="30" customHeight="1"/>
    <row r="11" ht="30" customHeight="1">
      <c r="A11" s="70" t="inlineStr">
        <is>
          <t>검사 이미지</t>
        </is>
      </c>
      <c r="B11" s="36" t="n"/>
      <c r="C11" s="36" t="n"/>
      <c r="D11" s="36" t="n"/>
      <c r="E11" s="30" t="n"/>
    </row>
    <row r="12" ht="44" customHeight="1">
      <c r="A12" s="76" t="inlineStr">
        <is>
          <t>{{inspection_image_status}} · {{inspection_image_path}} · SHA-256 {{inspection_image_sha256}}</t>
        </is>
      </c>
      <c r="B12" s="36" t="n"/>
      <c r="C12" s="36" t="n"/>
      <c r="D12" s="36" t="n"/>
      <c r="E12" s="30" t="n"/>
    </row>
    <row r="13" ht="40" customHeight="1">
      <c r="A13" s="34" t="n"/>
      <c r="B13" s="77" t="n"/>
      <c r="C13" s="77" t="n"/>
      <c r="D13" s="77" t="n"/>
      <c r="E13" s="78" t="n"/>
    </row>
    <row r="14" ht="40" customHeight="1">
      <c r="A14" s="79" t="n"/>
      <c r="E14" s="80" t="n"/>
    </row>
    <row r="15" ht="40" customHeight="1">
      <c r="A15" s="79" t="n"/>
      <c r="E15" s="80" t="n"/>
    </row>
    <row r="16" ht="40" customHeight="1">
      <c r="A16" s="79" t="n"/>
      <c r="E16" s="80" t="n"/>
    </row>
    <row r="17" ht="40" customHeight="1">
      <c r="A17" s="79" t="n"/>
      <c r="E17" s="80" t="n"/>
    </row>
    <row r="18" ht="40" customHeight="1">
      <c r="A18" s="81" t="n"/>
      <c r="B18" s="82" t="n"/>
      <c r="C18" s="82" t="n"/>
      <c r="D18" s="82" t="n"/>
      <c r="E18" s="8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9">
    <mergeCell ref="A12:E12"/>
    <mergeCell ref="A2:E2"/>
    <mergeCell ref="A7:E7"/>
    <mergeCell ref="D5:E5"/>
    <mergeCell ref="A11:E11"/>
    <mergeCell ref="A1:E1"/>
    <mergeCell ref="D4:E4"/>
    <mergeCell ref="A13:E18"/>
    <mergeCell ref="A3:E3"/>
  </mergeCells>
  <pageMargins left="0.32" right="0.32" top="0.45" bottom="0.45" header="0.5" footer="0.5"/>
  <pageSetup orientation="portrait" paperSize="9" fitToHeight="0" fitToWidth="1"/>
  <headerFooter>
    <oddHeader/>
    <oddFooter>&amp;L&amp;8 &amp;K627083v2 · 불량 근거&amp;R&amp;8 &amp;K627083&amp;P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296AD"/>
    <outlinePr summaryBelow="1" summaryRight="1"/>
    <pageSetUpPr fitToPage="0"/>
  </sheetPr>
  <dimension ref="A1:F21"/>
  <sheetViews>
    <sheetView showGridLines="0"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3" customWidth="1" min="2" max="2"/>
    <col width="17" customWidth="1" min="3" max="3"/>
    <col width="8" customWidth="1" min="4" max="4"/>
    <col width="13" customWidth="1" min="5" max="5"/>
    <col width="12" customWidth="1" min="6" max="6"/>
  </cols>
  <sheetData>
    <row r="1" ht="34" customHeight="1">
      <c r="A1" s="84" t="inlineStr">
        <is>
          <t>부품 검토자료</t>
        </is>
      </c>
    </row>
    <row r="2" ht="40" customHeight="1">
      <c r="A2" s="85" t="inlineStr">
        <is>
          <t>부품 범주 {{category_label}} · 데이터시트 대조 {{datasheet_match}} · 기준일 {{source_dated_on}} · 조회 {{queried_at}}</t>
        </is>
      </c>
    </row>
    <row r="3" ht="22" customHeight="1">
      <c r="A3" s="53" t="inlineStr">
        <is>
          <t>현재 부품  |  데이터시트 대조</t>
        </is>
      </c>
      <c r="B3" s="54" t="n"/>
      <c r="C3" s="54" t="n"/>
      <c r="D3" s="54" t="n"/>
      <c r="E3" s="54" t="n"/>
      <c r="F3" s="54" t="n"/>
    </row>
    <row r="4" ht="28" customHeight="1">
      <c r="A4" s="49" t="inlineStr">
        <is>
          <t>현재 MPN</t>
        </is>
      </c>
      <c r="B4" s="49" t="inlineStr">
        <is>
          <t>핵심 정격</t>
        </is>
      </c>
      <c r="C4" s="49" t="inlineStr">
        <is>
          <t>공급사</t>
        </is>
      </c>
      <c r="D4" s="49" t="inlineStr">
        <is>
          <t>단가</t>
        </is>
      </c>
      <c r="E4" s="49" t="inlineStr">
        <is>
          <t>가격 기준 수량</t>
        </is>
      </c>
      <c r="F4" s="49" t="inlineStr">
        <is>
          <t>가격 확인일</t>
        </is>
      </c>
    </row>
    <row r="5" ht="52" customHeight="1">
      <c r="A5" s="50" t="inlineStr">
        <is>
          <t>{{selected_mpn}}</t>
        </is>
      </c>
      <c r="B5" s="50" t="inlineStr">
        <is>
          <t>{{selected_spec}}</t>
        </is>
      </c>
      <c r="C5" s="50" t="inlineStr">
        <is>
          <t>{{selected_supplier}}</t>
        </is>
      </c>
      <c r="D5" s="50" t="inlineStr">
        <is>
          <t>{{selected_unit_price}}</t>
        </is>
      </c>
      <c r="E5" s="50" t="inlineStr">
        <is>
          <t>{{selected_price_basis}}</t>
        </is>
      </c>
      <c r="F5" s="50" t="inlineStr">
        <is>
          <t>{{selected_price_checked_at}}</t>
        </is>
      </c>
    </row>
    <row r="6" ht="8" customHeight="1">
      <c r="A6" s="52" t="n"/>
      <c r="B6" s="52" t="n"/>
      <c r="C6" s="52" t="n"/>
      <c r="D6" s="52" t="n"/>
      <c r="E6" s="52" t="n"/>
      <c r="F6" s="52" t="n"/>
    </row>
    <row r="7" ht="22" customHeight="1">
      <c r="A7" s="53" t="inlineStr">
        <is>
          <t>품질 체크리스트  |  검사 항목과 이상 시 조치</t>
        </is>
      </c>
      <c r="B7" s="54" t="n"/>
      <c r="C7" s="54" t="n"/>
      <c r="D7" s="54" t="n"/>
      <c r="E7" s="54" t="n"/>
      <c r="F7" s="54" t="n"/>
    </row>
    <row r="8" ht="28" customHeight="1">
      <c r="A8" s="49" t="inlineStr">
        <is>
          <t>구분</t>
        </is>
      </c>
      <c r="B8" s="49" t="inlineStr">
        <is>
          <t>확인 항목</t>
        </is>
      </c>
      <c r="C8" s="46" t="n"/>
      <c r="D8" s="46" t="n"/>
      <c r="E8" s="49" t="inlineStr">
        <is>
          <t>이상 시 조치</t>
        </is>
      </c>
      <c r="F8" s="46" t="n"/>
    </row>
    <row r="9" ht="48" customHeight="1">
      <c r="A9" s="49" t="inlineStr">
        <is>
          <t>입고 검사</t>
        </is>
      </c>
      <c r="B9" s="50" t="inlineStr">
        <is>
          <t>{{incoming_inspection}}</t>
        </is>
      </c>
      <c r="E9" s="61" t="inlineStr">
        <is>
          <t>{{action_on_anomaly}}</t>
        </is>
      </c>
      <c r="F9" s="59" t="n"/>
    </row>
    <row r="10" ht="48" customHeight="1">
      <c r="A10" s="49" t="inlineStr">
        <is>
          <t>조립·보관</t>
        </is>
      </c>
      <c r="B10" s="50" t="inlineStr">
        <is>
          <t>{{assembly_control}}</t>
        </is>
      </c>
      <c r="E10" s="59" t="n"/>
      <c r="F10" s="59" t="n"/>
    </row>
    <row r="11" ht="48" customHeight="1">
      <c r="A11" s="49" t="inlineStr">
        <is>
          <t>기능·신뢰성</t>
        </is>
      </c>
      <c r="B11" s="50" t="inlineStr">
        <is>
          <t>{{reliability_test}}</t>
        </is>
      </c>
      <c r="E11" s="59" t="n"/>
      <c r="F11" s="59" t="n"/>
    </row>
    <row r="12" ht="28" customHeight="1">
      <c r="A12" s="47" t="inlineStr">
        <is>
          <t>부품 데이터시트 Checklist 시트에서 조회 · 원인 자동 추정 자료가 아님</t>
        </is>
      </c>
    </row>
    <row r="13" ht="8" customHeight="1">
      <c r="A13" s="52" t="n"/>
      <c r="B13" s="52" t="n"/>
      <c r="C13" s="52" t="n"/>
      <c r="D13" s="52" t="n"/>
      <c r="E13" s="52" t="n"/>
      <c r="F13" s="52" t="n"/>
    </row>
    <row r="14" ht="22" customHeight="1">
      <c r="A14" s="53" t="inlineStr">
        <is>
          <t>대체품 후보  |  적합성 검증·변경 승인 후 적용</t>
        </is>
      </c>
      <c r="B14" s="54" t="n"/>
      <c r="C14" s="54" t="n"/>
      <c r="D14" s="54" t="n"/>
      <c r="E14" s="54" t="n"/>
      <c r="F14" s="54" t="n"/>
    </row>
    <row r="15" ht="48" customHeight="1">
      <c r="A15" s="86" t="inlineStr">
        <is>
          <t>같은 부품 타입이라는 것 외에 검증된 것은 없다 · 동일 정격만으로 drop-in 판단 금지 · 핀/패키지/정격/열/수명 재검증과 변경 승인을 거친 뒤에만 적용한다.</t>
        </is>
      </c>
      <c r="B15" s="87" t="n"/>
      <c r="C15" s="87" t="n"/>
      <c r="D15" s="87" t="n"/>
      <c r="E15" s="87" t="n"/>
      <c r="F15" s="87" t="n"/>
    </row>
    <row r="16" ht="44" customHeight="1">
      <c r="A16" s="85" t="inlineStr">
        <is>
          <t>조회 시각 {{queried_at}}   ·   데이터시트 {{source_file}} (기준일 {{source_dated_on}})   ·   부품 타입 {{category_label}}   ·   후보 {{candidate_count}}종   ·   단가 {{price_range}}   ·   현재 선정 {{price_selected}}</t>
        </is>
      </c>
    </row>
    <row r="17" ht="30" customHeight="1">
      <c r="A17" s="49" t="inlineStr">
        <is>
          <t>제조사 / P/N</t>
        </is>
      </c>
      <c r="B17" s="49" t="inlineStr">
        <is>
          <t>핵심 정격</t>
        </is>
      </c>
      <c r="C17" s="49" t="inlineStr">
        <is>
          <t>공급사</t>
        </is>
      </c>
      <c r="D17" s="49" t="inlineStr">
        <is>
          <t>단가</t>
        </is>
      </c>
      <c r="E17" s="49" t="inlineStr">
        <is>
          <t>가격 기준 수량</t>
        </is>
      </c>
      <c r="F17" s="49" t="inlineStr">
        <is>
          <t>가격 확인일</t>
        </is>
      </c>
    </row>
    <row r="18" ht="54" customHeight="1">
      <c r="A18" s="88" t="inlineStr">
        <is>
          <t>{{manufacturer_part_number}}</t>
        </is>
      </c>
      <c r="B18" s="88" t="inlineStr">
        <is>
          <t>{{key_spec}}</t>
        </is>
      </c>
      <c r="C18" s="88" t="inlineStr">
        <is>
          <t>{{supplier}}</t>
        </is>
      </c>
      <c r="D18" s="88" t="inlineStr">
        <is>
          <t>{{unit_price}}</t>
        </is>
      </c>
      <c r="E18" s="88" t="inlineStr">
        <is>
          <t>{{price_basis}}</t>
        </is>
      </c>
      <c r="F18" s="88" t="inlineStr">
        <is>
          <t>{{price_checked_at}}</t>
        </is>
      </c>
    </row>
    <row r="19" ht="54" customHeight="1">
      <c r="A19" s="52" t="n"/>
      <c r="B19" s="52" t="n"/>
      <c r="C19" s="52" t="n"/>
      <c r="D19" s="52" t="n"/>
      <c r="E19" s="52" t="n"/>
      <c r="F19" s="52" t="n"/>
    </row>
    <row r="20" ht="42" customHeight="1">
      <c r="A20" s="85" t="inlineStr">
        <is>
          <t>단가는 데이터시트 기준일의 값이고 발주 근거가 아니다. MOQ·재고·리드타임과 상호호환 판정은 이 문서에 없다 → GET /parts/{{part_id}} 또는 구매·품질 담당</t>
        </is>
      </c>
    </row>
    <row r="21" ht="28" customHeight="1">
      <c r="A21" s="47" t="inlineStr">
        <is>
          <t>원본 {{source_file}} · DB parts: {{part_id}} / {{part_name}} / {{category_label}} · 데이터시트 MPN 대조: {{datasheet_match}}</t>
        </is>
      </c>
    </row>
  </sheetData>
  <mergeCells count="16">
    <mergeCell ref="B10:D10"/>
    <mergeCell ref="A2:F2"/>
    <mergeCell ref="B11:D11"/>
    <mergeCell ref="A16:F16"/>
    <mergeCell ref="A14:F14"/>
    <mergeCell ref="B8:D8"/>
    <mergeCell ref="A1:F1"/>
    <mergeCell ref="A15:F15"/>
    <mergeCell ref="B9:D9"/>
    <mergeCell ref="E9:F11"/>
    <mergeCell ref="A12:F12"/>
    <mergeCell ref="A3:F3"/>
    <mergeCell ref="A21:F21"/>
    <mergeCell ref="A20:F20"/>
    <mergeCell ref="E8:F8"/>
    <mergeCell ref="A7:F7"/>
  </mergeCells>
  <printOptions horizontalCentered="1"/>
  <pageMargins left="0.32" right="0.32" top="0.35" bottom="0.38" header="0.15" footer="0.17"/>
  <pageSetup orientation="portrait" paperSize="9" scale="100"/>
  <headerFooter>
    <oddHeader/>
    <oddFooter>&amp;L&amp;8 &amp;K627083v2 · 검토용&amp;R&amp;8 &amp;K627083&amp;P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MAIN_SERVER/generate_defect_reports.py</dc:creator>
  <dc:title xmlns:dc="http://purl.org/dc/elements/1.1/">불량 대책서 v2</dc:title>
  <dc:description xmlns:dc="http://purl.org/dc/elements/1.1/">기존 양식의 검토용 v2. 원본 자동 발행 템플릿과 분리.</dc:description>
  <dc:subject xmlns:dc="http://purl.org/dc/elements/1.1/">3개 시트 통합 검토본</dc:subject>
  <dcterms:created xmlns:dcterms="http://purl.org/dc/terms/" xmlns:xsi="http://www.w3.org/2001/XMLSchema-instance" xsi:type="dcterms:W3CDTF">2026-08-19T09:00:00Z</dcterms:created>
  <dcterms:modified xmlns:dcterms="http://purl.org/dc/terms/" xmlns:xsi="http://www.w3.org/2001/XMLSchema-instance" xsi:type="dcterms:W3CDTF">2026-09-07T04:24:52Z</dcterms:modified>
</cp:coreProperties>
</file>