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책서" sheetId="1" state="visible" r:id="rId1"/>
    <sheet xmlns:r="http://schemas.openxmlformats.org/officeDocument/2006/relationships" name="불량 근거" sheetId="2" state="visible" r:id="rId2"/>
    <sheet xmlns:r="http://schemas.openxmlformats.org/officeDocument/2006/relationships" name="부품 검토자료" sheetId="3" state="visible" r:id="rId3"/>
  </sheets>
  <definedNames>
    <definedName name="reply_containment_scope">'대책서'!$B$21</definedName>
    <definedName name="reply_containment">'대책서'!$B$22</definedName>
    <definedName name="reply_root_cause_label">'대책서'!$B$25</definedName>
    <definedName name="reply_root_cause">'대책서'!$B$26</definedName>
    <definedName name="reply_escape_cause">'대책서'!$B$28</definedName>
    <definedName name="reply_prevention">'대책서'!$B$31</definedName>
    <definedName name="reply_verify_period">'검증'!$B$5</definedName>
    <definedName name="reply_verify_recipe">'검증'!$D$5</definedName>
    <definedName name="reply_verify_inspected">'검증'!$E$5</definedName>
    <definedName name="reply_verify_defective">'검증'!$F$5</definedName>
    <definedName name="reply_verify_status">'검증'!$H$5</definedName>
    <definedName name="reply_verify_note">'검증'!$B$6</definedName>
    <definedName name="reply_closed_at">'검증'!$F$8</definedName>
    <definedName name="reply_closure_note">'검증'!$B$9</definedName>
    <definedName name="_xlnm.Print_Area" localSheetId="0">'대책서'!$A$1:$L$42</definedName>
    <definedName name="_xlnm.Print_Area" localSheetId="1">'불량 근거'!$A$1:$E$26</definedName>
    <definedName name="_xlnm.Print_Area" localSheetId="2">'부품 검토자료'!$A$1:$F$21</definedName>
  </definedNames>
  <calcPr calcId="191029" fullCalcOnLoad="1" forceFullCalc="1"/>
</workbook>
</file>

<file path=xl/styles.xml><?xml version="1.0" encoding="utf-8"?>
<styleSheet xmlns="http://schemas.openxmlformats.org/spreadsheetml/2006/main">
  <numFmts count="2">
    <numFmt numFmtId="164" formatCode="0.0&quot;배&quot;"/>
    <numFmt numFmtId="165" formatCode="0.000%"/>
  </numFmts>
  <fonts count="41">
    <font>
      <name val="Calibri"/>
      <family val="2"/>
      <color theme="1"/>
      <sz val="11"/>
      <scheme val="minor"/>
    </font>
    <font>
      <name val="맑은 고딕"/>
      <b val="1"/>
      <color rgb="00262626"/>
      <sz val="8"/>
    </font>
    <font>
      <name val="맑은 고딕"/>
      <b val="1"/>
      <color rgb="00262626"/>
      <sz val="18"/>
    </font>
    <font>
      <name val="맑은 고딕"/>
      <b val="1"/>
      <color rgb="00262626"/>
      <sz val="9"/>
    </font>
    <font>
      <name val="맑은 고딕"/>
      <color rgb="00262626"/>
      <sz val="9"/>
    </font>
    <font>
      <name val="맑은 고딕"/>
      <b val="1"/>
      <color rgb="00FFFFFF"/>
      <sz val="9"/>
    </font>
    <font>
      <name val="맑은 고딕"/>
      <b val="1"/>
      <color rgb="00808080"/>
      <sz val="7.5"/>
    </font>
    <font>
      <name val="맑은 고딕"/>
      <color rgb="00262626"/>
      <sz val="10.5"/>
    </font>
    <font>
      <name val="맑은 고딕"/>
      <b val="1"/>
      <color rgb="009C2A2A"/>
      <sz val="12"/>
    </font>
    <font>
      <name val="맑은 고딕"/>
      <b val="1"/>
      <color rgb="00262626"/>
      <sz val="8.5"/>
    </font>
    <font>
      <name val="맑은 고딕"/>
      <color rgb="00262626"/>
      <sz val="8"/>
    </font>
    <font>
      <name val="맑은 고딕"/>
      <b val="1"/>
      <color rgb="001F3864"/>
      <sz val="9"/>
    </font>
    <font>
      <name val="맑은 고딕"/>
      <color rgb="001F3864"/>
      <sz val="8"/>
    </font>
    <font>
      <name val="맑은 고딕"/>
      <b val="1"/>
      <color rgb="00808080"/>
      <sz val="8"/>
    </font>
    <font>
      <name val="맑은 고딕"/>
      <color rgb="00808080"/>
      <sz val="7.5"/>
    </font>
    <font>
      <name val="맑은 고딕"/>
      <color rgb="00595959"/>
      <sz val="7.5"/>
    </font>
    <font>
      <name val="맑은 고딕"/>
      <b val="1"/>
      <color rgb="00262626"/>
      <sz val="7.5"/>
    </font>
    <font>
      <name val="맑은 고딕"/>
      <b val="1"/>
      <color rgb="001F3864"/>
      <sz val="8"/>
    </font>
    <font>
      <name val="맑은 고딕"/>
      <b val="1"/>
      <color rgb="009C2A2A"/>
      <sz val="8"/>
    </font>
    <font>
      <name val="맑은 고딕"/>
      <color rgb="00263445"/>
      <sz val="10.5"/>
    </font>
    <font>
      <name val="맑은 고딕"/>
      <b val="1"/>
      <color rgb="001F3864"/>
      <sz val="22"/>
    </font>
    <font>
      <name val="맑은 고딕"/>
      <b val="1"/>
      <color rgb="001F3864"/>
      <sz val="11"/>
    </font>
    <font>
      <name val="맑은 고딕"/>
      <color rgb="00627083"/>
      <sz val="9"/>
    </font>
    <font>
      <name val="맑은 고딕"/>
      <b val="1"/>
      <color rgb="00263445"/>
      <sz val="10"/>
    </font>
    <font>
      <name val="맑은 고딕"/>
      <b val="1"/>
      <color rgb="001F3864"/>
      <sz val="10"/>
    </font>
    <font>
      <name val="맑은 고딕"/>
      <color rgb="00263445"/>
      <sz val="10"/>
    </font>
    <font>
      <name val="맑은 고딕"/>
      <b val="1"/>
      <color rgb="00FFFFFF"/>
      <sz val="11"/>
    </font>
    <font>
      <name val="맑은 고딕"/>
      <b val="1"/>
      <color rgb="001F3864"/>
      <sz val="17"/>
    </font>
    <font>
      <name val="맑은 고딕"/>
      <color rgb="00263445"/>
      <sz val="9.5"/>
    </font>
    <font>
      <name val="맑은 고딕"/>
      <b val="1"/>
      <color rgb="00263445"/>
      <sz val="10.5"/>
    </font>
    <font>
      <name val="맑은 고딕"/>
      <color rgb="00627083"/>
      <sz val="8.5"/>
    </font>
    <font>
      <name val="맑은 고딕"/>
      <b val="1"/>
      <color rgb="001F3864"/>
      <sz val="10.5"/>
    </font>
    <font>
      <name val="맑은 고딕"/>
      <color rgb="00627083"/>
      <sz val="8"/>
    </font>
    <font>
      <name val="맑은 고딕"/>
      <b val="1"/>
      <color rgb="00FFFFFF"/>
      <sz val="10"/>
    </font>
    <font>
      <name val="맑은 고딕"/>
      <color rgb="00808080"/>
      <sz val="10"/>
    </font>
    <font>
      <name val="맑은 고딕"/>
      <b val="1"/>
      <color rgb="00262626"/>
      <sz val="10"/>
    </font>
    <font>
      <name val="맑은 고딕"/>
      <color rgb="00262626"/>
      <sz val="10"/>
    </font>
    <font>
      <name val="맑은 고딕"/>
      <b val="1"/>
      <color rgb="001F3864"/>
      <sz val="18"/>
    </font>
    <font>
      <name val="맑은 고딕"/>
      <b val="1"/>
      <color rgb="001F3864"/>
      <sz val="20"/>
    </font>
    <font>
      <name val="맑은 고딕"/>
      <color rgb="00627083"/>
      <sz val="9.5"/>
    </font>
    <font>
      <name val="맑은 고딕"/>
      <b val="1"/>
      <color rgb="0080601B"/>
      <sz val="10"/>
    </font>
  </fonts>
  <fills count="15">
    <fill>
      <patternFill/>
    </fill>
    <fill>
      <patternFill patternType="gray125"/>
    </fill>
    <fill>
      <patternFill patternType="solid">
        <fgColor rgb="00F2F2F2"/>
      </patternFill>
    </fill>
    <fill>
      <patternFill patternType="solid">
        <fgColor rgb="001F3864"/>
      </patternFill>
    </fill>
    <fill>
      <patternFill patternType="solid">
        <fgColor rgb="00404040"/>
      </patternFill>
    </fill>
    <fill>
      <patternFill patternType="solid">
        <fgColor rgb="00FCE9E9"/>
      </patternFill>
    </fill>
    <fill>
      <patternFill patternType="solid">
        <fgColor rgb="00DDE6F3"/>
      </patternFill>
    </fill>
    <fill>
      <patternFill patternType="solid">
        <fgColor rgb="00EEF3FA"/>
      </patternFill>
    </fill>
    <fill>
      <patternFill patternType="solid">
        <fgColor rgb="00FFFBF0"/>
      </patternFill>
    </fill>
    <fill>
      <patternFill patternType="solid">
        <fgColor rgb="00DCE3EF"/>
      </patternFill>
    </fill>
    <fill>
      <patternFill patternType="solid">
        <fgColor rgb="00FFFFFF"/>
      </patternFill>
    </fill>
    <fill>
      <patternFill patternType="solid">
        <fgColor rgb="00FFF6D9"/>
      </patternFill>
    </fill>
    <fill>
      <patternFill patternType="solid">
        <fgColor rgb="00EDF2F8"/>
      </patternFill>
    </fill>
    <fill>
      <patternFill patternType="solid">
        <fgColor rgb="00FFF4D7"/>
      </patternFill>
    </fill>
    <fill>
      <patternFill patternType="solid">
        <fgColor rgb="00F5F7FA"/>
      </patternFill>
    </fill>
  </fills>
  <borders count="14">
    <border>
      <left/>
      <right/>
      <top/>
      <bottom/>
      <diagonal/>
    </border>
    <border>
      <left style="thin">
        <color rgb="00A6A6A6"/>
      </left>
      <right style="thin">
        <color rgb="00A6A6A6"/>
      </right>
      <top style="thin">
        <color rgb="00A6A6A6"/>
      </top>
      <bottom style="thin">
        <color rgb="00A6A6A6"/>
      </bottom>
    </border>
    <border/>
    <border>
      <left/>
      <right/>
      <top style="thin">
        <color rgb="00A6A6A6"/>
      </top>
      <bottom/>
      <diagonal/>
    </border>
    <border>
      <left/>
      <right style="thin">
        <color rgb="00A6A6A6"/>
      </right>
      <top style="thin">
        <color rgb="00A6A6A6"/>
      </top>
      <bottom/>
      <diagonal/>
    </border>
    <border>
      <left/>
      <right style="thin">
        <color rgb="00A6A6A6"/>
      </right>
      <top style="thin">
        <color rgb="00A6A6A6"/>
      </top>
      <bottom style="thin">
        <color rgb="00A6A6A6"/>
      </bottom>
      <diagonal/>
    </border>
    <border>
      <left/>
      <right/>
      <top style="thin">
        <color rgb="00A6A6A6"/>
      </top>
      <bottom style="thin">
        <color rgb="00A6A6A6"/>
      </bottom>
      <diagonal/>
    </border>
    <border>
      <left style="thin">
        <color rgb="00A6A6A6"/>
      </left>
      <right/>
      <top/>
      <bottom/>
      <diagonal/>
    </border>
    <border>
      <left/>
      <right style="thin">
        <color rgb="00A6A6A6"/>
      </right>
      <top/>
      <bottom/>
      <diagonal/>
    </border>
    <border>
      <left style="thin">
        <color rgb="00A6A6A6"/>
      </left>
      <right/>
      <top/>
      <bottom style="thin">
        <color rgb="00A6A6A6"/>
      </bottom>
      <diagonal/>
    </border>
    <border>
      <left/>
      <right/>
      <top/>
      <bottom style="thin">
        <color rgb="00A6A6A6"/>
      </bottom>
      <diagonal/>
    </border>
    <border>
      <left/>
      <right style="thin">
        <color rgb="00A6A6A6"/>
      </right>
      <top/>
      <bottom style="thin">
        <color rgb="00A6A6A6"/>
      </bottom>
      <diagonal/>
    </border>
    <border>
      <left style="thin">
        <color rgb="00A6A6A6"/>
      </left>
      <right style="thin">
        <color rgb="00A6A6A6"/>
      </right>
      <top/>
      <bottom/>
      <diagonal/>
    </border>
    <border>
      <left style="thin">
        <color rgb="00A6A6A6"/>
      </left>
      <right style="thin">
        <color rgb="00A6A6A6"/>
      </right>
      <top/>
      <bottom style="thin">
        <color rgb="00A6A6A6"/>
      </bottom>
      <diagonal/>
    </border>
  </borders>
  <cellStyleXfs count="1">
    <xf numFmtId="0" fontId="0" fillId="0" borderId="0"/>
  </cellStyleXfs>
  <cellXfs count="8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3" fillId="2" borderId="1" applyAlignment="1" pivotButton="0" quotePrefix="0" xfId="0">
      <alignment horizontal="center" vertical="center" wrapText="1"/>
    </xf>
    <xf numFmtId="0" fontId="1" fillId="2" borderId="1" applyAlignment="1" pivotButton="0" quotePrefix="0" xfId="0">
      <alignment horizontal="center" vertical="center"/>
    </xf>
    <xf numFmtId="0" fontId="4" fillId="0" borderId="1" applyAlignment="1" pivotButton="0" quotePrefix="0" xfId="0">
      <alignment horizontal="center" vertical="center"/>
    </xf>
    <xf numFmtId="0" fontId="3" fillId="2" borderId="1" applyAlignment="1" pivotButton="0" quotePrefix="0" xfId="0">
      <alignment horizontal="left" vertical="center" indent="1"/>
    </xf>
    <xf numFmtId="0" fontId="4" fillId="0" borderId="1" applyAlignment="1" pivotButton="0" quotePrefix="0" xfId="0">
      <alignment horizontal="left" vertical="center" indent="1"/>
    </xf>
    <xf numFmtId="0" fontId="4" fillId="0" borderId="1" applyAlignment="1" pivotButton="0" quotePrefix="0" xfId="0">
      <alignment horizontal="left" vertical="center" wrapText="1" indent="1"/>
    </xf>
    <xf numFmtId="0" fontId="0" fillId="3" borderId="1" applyAlignment="1" pivotButton="0" quotePrefix="0" xfId="0">
      <alignment horizontal="center" vertical="center"/>
    </xf>
    <xf numFmtId="0" fontId="5" fillId="4" borderId="0" applyAlignment="1" pivotButton="0" quotePrefix="0" xfId="0">
      <alignment horizontal="left" vertical="center" indent="1"/>
    </xf>
    <xf numFmtId="0" fontId="6" fillId="2" borderId="1" applyAlignment="1" pivotButton="0" quotePrefix="0" xfId="0">
      <alignment horizontal="center" vertical="center" wrapText="1"/>
    </xf>
    <xf numFmtId="3" fontId="7" fillId="0" borderId="1" applyAlignment="1" pivotButton="0" quotePrefix="0" xfId="0">
      <alignment horizontal="center" vertical="center"/>
    </xf>
    <xf numFmtId="3" fontId="8" fillId="5" borderId="1" applyAlignment="1" pivotButton="0" quotePrefix="0" xfId="0">
      <alignment horizontal="center" vertical="center"/>
    </xf>
    <xf numFmtId="164" fontId="8" fillId="5" borderId="1" applyAlignment="1" pivotButton="0" quotePrefix="0" xfId="0">
      <alignment horizontal="center" vertical="center"/>
    </xf>
    <xf numFmtId="0" fontId="9" fillId="0" borderId="1" applyAlignment="1" pivotButton="0" quotePrefix="0" xfId="0">
      <alignment horizontal="center" vertical="center"/>
    </xf>
    <xf numFmtId="0" fontId="10" fillId="0" borderId="1" applyAlignment="1" pivotButton="0" quotePrefix="0" xfId="0">
      <alignment horizontal="left" vertical="center" wrapText="1" indent="1"/>
    </xf>
    <xf numFmtId="0" fontId="11" fillId="6" borderId="1" applyAlignment="1" pivotButton="0" quotePrefix="0" xfId="0">
      <alignment horizontal="center" vertical="center" wrapText="1"/>
    </xf>
    <xf numFmtId="0" fontId="12" fillId="7" borderId="1" applyAlignment="1" pivotButton="0" quotePrefix="0" xfId="0">
      <alignment horizontal="left" vertical="top" wrapText="1" indent="1"/>
    </xf>
    <xf numFmtId="0" fontId="13" fillId="8" borderId="1" applyAlignment="1" applyProtection="1" pivotButton="0" quotePrefix="0" xfId="0">
      <alignment horizontal="left" vertical="center" indent="1"/>
      <protection locked="0" hidden="0"/>
    </xf>
    <xf numFmtId="0" fontId="10" fillId="8" borderId="1" applyAlignment="1" applyProtection="1" pivotButton="0" quotePrefix="0" xfId="0">
      <alignment horizontal="left" vertical="top" wrapText="1" indent="1"/>
      <protection locked="0" hidden="0"/>
    </xf>
    <xf numFmtId="0" fontId="1" fillId="8" borderId="1" applyAlignment="1" applyProtection="1" pivotButton="0" quotePrefix="0" xfId="0">
      <alignment horizontal="left" vertical="center" indent="1"/>
      <protection locked="0" hidden="0"/>
    </xf>
    <xf numFmtId="0" fontId="14" fillId="0" borderId="0" applyAlignment="1" pivotButton="0" quotePrefix="0" xfId="0">
      <alignment horizontal="center" vertical="center"/>
    </xf>
    <xf numFmtId="0" fontId="15" fillId="0" borderId="2" applyAlignment="1" pivotButton="0" quotePrefix="0" xfId="0">
      <alignment horizontal="left" vertical="center" wrapText="1" indent="1"/>
    </xf>
    <xf numFmtId="0" fontId="4" fillId="8" borderId="1" applyAlignment="1" applyProtection="1" pivotButton="0" quotePrefix="0" xfId="0">
      <alignment horizontal="center" vertical="center"/>
      <protection locked="0" hidden="0"/>
    </xf>
    <xf numFmtId="3" fontId="4" fillId="8" borderId="1" applyAlignment="1" applyProtection="1" pivotButton="0" quotePrefix="0" xfId="0">
      <alignment horizontal="center" vertical="center"/>
      <protection locked="0" hidden="0"/>
    </xf>
    <xf numFmtId="165" fontId="4" fillId="0" borderId="1" applyAlignment="1" pivotButton="0" quotePrefix="0" xfId="0">
      <alignment horizontal="center" vertical="center"/>
    </xf>
    <xf numFmtId="0" fontId="14" fillId="0" borderId="2" applyAlignment="1" pivotButton="0" quotePrefix="0" xfId="0">
      <alignment horizontal="left" vertical="center" wrapText="1" indent="1"/>
    </xf>
    <xf numFmtId="0" fontId="3" fillId="9" borderId="1" applyAlignment="1" pivotButton="0" quotePrefix="0" xfId="0">
      <alignment horizontal="left" vertical="center" indent="1"/>
    </xf>
    <xf numFmtId="0" fontId="16" fillId="9" borderId="1" applyAlignment="1" pivotButton="0" quotePrefix="0" xfId="0">
      <alignment horizontal="center" vertical="center" wrapText="1"/>
    </xf>
    <xf numFmtId="0" fontId="0" fillId="0" borderId="5" pivotButton="0" quotePrefix="0" xfId="0"/>
    <xf numFmtId="3" fontId="4" fillId="0" borderId="1" applyAlignment="1" pivotButton="0" quotePrefix="0" xfId="0">
      <alignment horizontal="center" vertical="center"/>
    </xf>
    <xf numFmtId="0" fontId="10" fillId="0" borderId="1" applyAlignment="1" pivotButton="0" quotePrefix="0" xfId="0">
      <alignment horizontal="left" vertical="center" indent="1"/>
    </xf>
    <xf numFmtId="0" fontId="14" fillId="0" borderId="1" applyAlignment="1" pivotButton="0" quotePrefix="0" xfId="0">
      <alignment horizontal="left" vertical="center" wrapText="1" indent="1"/>
    </xf>
    <xf numFmtId="0" fontId="4" fillId="10" borderId="1" applyAlignment="1" pivotButton="0" quotePrefix="0" xfId="0">
      <alignment horizontal="center" vertical="center"/>
    </xf>
    <xf numFmtId="0" fontId="17" fillId="2" borderId="1" applyAlignment="1" pivotButton="0" quotePrefix="0" xfId="0">
      <alignment horizontal="left" vertical="center" indent="1"/>
    </xf>
    <xf numFmtId="0" fontId="0" fillId="0" borderId="6" pivotButton="0" quotePrefix="0" xfId="0"/>
    <xf numFmtId="0" fontId="1" fillId="2" borderId="1" applyAlignment="1" pivotButton="0" quotePrefix="0" xfId="0">
      <alignment horizontal="left" vertical="center" indent="1"/>
    </xf>
    <xf numFmtId="0" fontId="10" fillId="0" borderId="1" applyAlignment="1" pivotButton="0" quotePrefix="0" xfId="0">
      <alignment horizontal="left" vertical="top" wrapText="1" indent="1"/>
    </xf>
    <xf numFmtId="0" fontId="1" fillId="11" borderId="1" applyAlignment="1" pivotButton="0" quotePrefix="0" xfId="0">
      <alignment horizontal="left" vertical="top" wrapText="1" indent="1"/>
    </xf>
    <xf numFmtId="0" fontId="1" fillId="11" borderId="1" applyAlignment="1" pivotButton="0" quotePrefix="0" xfId="0">
      <alignment horizontal="right" vertical="top" wrapText="1" indent="1"/>
    </xf>
    <xf numFmtId="0" fontId="18" fillId="5" borderId="1" applyAlignment="1" pivotButton="0" quotePrefix="0" xfId="0">
      <alignment horizontal="left" vertical="center" wrapText="1" indent="1"/>
    </xf>
    <xf numFmtId="0" fontId="10" fillId="0" borderId="1" applyAlignment="1" pivotButton="0" quotePrefix="0" xfId="0">
      <alignment horizontal="right" vertical="top" wrapText="1" indent="1"/>
    </xf>
    <xf numFmtId="0" fontId="14" fillId="0" borderId="0" applyAlignment="1" pivotButton="0" quotePrefix="0" xfId="0">
      <alignment horizontal="left" vertical="center" wrapText="1" indent="1"/>
    </xf>
    <xf numFmtId="0" fontId="20" fillId="0" borderId="0" applyAlignment="1" pivotButton="0" quotePrefix="0" xfId="0">
      <alignment horizontal="left" vertical="center" wrapText="1" indent="1"/>
    </xf>
    <xf numFmtId="0" fontId="21" fillId="12" borderId="0" applyAlignment="1" pivotButton="0" quotePrefix="0" xfId="0">
      <alignment horizontal="center" vertical="center" wrapText="1"/>
    </xf>
    <xf numFmtId="0" fontId="0" fillId="12" borderId="0" pivotButton="0" quotePrefix="0" xfId="0"/>
    <xf numFmtId="0" fontId="22" fillId="0" borderId="0" applyAlignment="1" pivotButton="0" quotePrefix="0" xfId="0">
      <alignment horizontal="left" vertical="center" wrapText="1" indent="1"/>
    </xf>
    <xf numFmtId="0" fontId="23" fillId="0" borderId="0" applyAlignment="1" pivotButton="0" quotePrefix="0" xfId="0">
      <alignment horizontal="right" vertical="center" wrapText="1"/>
    </xf>
    <xf numFmtId="0" fontId="24" fillId="12" borderId="0" applyAlignment="1" pivotButton="0" quotePrefix="0" xfId="0">
      <alignment horizontal="left" vertical="center" wrapText="1" indent="1"/>
    </xf>
    <xf numFmtId="0" fontId="19" fillId="0" borderId="0" applyAlignment="1" pivotButton="0" quotePrefix="0" xfId="0">
      <alignment horizontal="left" vertical="center" wrapText="1" indent="1"/>
    </xf>
    <xf numFmtId="0" fontId="25" fillId="0" borderId="0" applyAlignment="1" pivotButton="0" quotePrefix="0" xfId="0">
      <alignment horizontal="left" vertical="center" wrapText="1" indent="1"/>
    </xf>
    <xf numFmtId="0" fontId="19" fillId="0" borderId="0" applyAlignment="1" pivotButton="0" quotePrefix="0" xfId="0">
      <alignment vertical="center" wrapText="1"/>
    </xf>
    <xf numFmtId="0" fontId="26" fillId="3" borderId="0" applyAlignment="1" pivotButton="0" quotePrefix="0" xfId="0">
      <alignment horizontal="left" vertical="center" wrapText="1" indent="1"/>
    </xf>
    <xf numFmtId="0" fontId="0" fillId="3" borderId="0" pivotButton="0" quotePrefix="0" xfId="0"/>
    <xf numFmtId="3" fontId="27" fillId="12" borderId="0" applyAlignment="1" pivotButton="0" quotePrefix="0" xfId="0">
      <alignment horizontal="center" vertical="center" wrapText="1"/>
    </xf>
    <xf numFmtId="0" fontId="28" fillId="0" borderId="0" applyAlignment="1" pivotButton="0" quotePrefix="0" xfId="0">
      <alignment horizontal="left" vertical="center" wrapText="1" indent="1"/>
    </xf>
    <xf numFmtId="0" fontId="19" fillId="12" borderId="0" applyAlignment="1" pivotButton="0" quotePrefix="0" xfId="0">
      <alignment horizontal="left" vertical="center" wrapText="1" indent="1"/>
    </xf>
    <xf numFmtId="0" fontId="29" fillId="8" borderId="0" applyAlignment="1" pivotButton="0" quotePrefix="0" xfId="0">
      <alignment horizontal="left" vertical="center" wrapText="1" indent="1"/>
    </xf>
    <xf numFmtId="0" fontId="0" fillId="8" borderId="0" pivotButton="0" quotePrefix="0" xfId="0"/>
    <xf numFmtId="0" fontId="25" fillId="8" borderId="0" applyAlignment="1" pivotButton="0" quotePrefix="0" xfId="0">
      <alignment horizontal="left" vertical="center" wrapText="1" indent="1"/>
    </xf>
    <xf numFmtId="0" fontId="19" fillId="8" borderId="0" applyAlignment="1" pivotButton="0" quotePrefix="0" xfId="0">
      <alignment horizontal="left" vertical="top" wrapText="1" indent="1"/>
    </xf>
    <xf numFmtId="0" fontId="19" fillId="8" borderId="0" applyAlignment="1" pivotButton="0" quotePrefix="0" xfId="0">
      <alignment horizontal="left" vertical="center" wrapText="1" indent="1"/>
    </xf>
    <xf numFmtId="0" fontId="30" fillId="0" borderId="0" applyAlignment="1" pivotButton="0" quotePrefix="0" xfId="0">
      <alignment horizontal="left" vertical="center" wrapText="1" indent="1"/>
    </xf>
    <xf numFmtId="0" fontId="19" fillId="8" borderId="0" applyAlignment="1" pivotButton="0" quotePrefix="0" xfId="0">
      <alignment horizontal="center" vertical="center" wrapText="1"/>
    </xf>
    <xf numFmtId="3" fontId="19" fillId="8" borderId="0" applyAlignment="1" pivotButton="0" quotePrefix="0" xfId="0">
      <alignment horizontal="center" vertical="center" wrapText="1"/>
    </xf>
    <xf numFmtId="165" fontId="31" fillId="12" borderId="0" applyAlignment="1" pivotButton="0" quotePrefix="0" xfId="0">
      <alignment horizontal="center" vertical="center" wrapText="1"/>
    </xf>
    <xf numFmtId="0" fontId="32" fillId="0" borderId="0" applyAlignment="1" pivotButton="0" quotePrefix="0" xfId="0">
      <alignment horizontal="left" vertical="center" wrapText="1" indent="1"/>
    </xf>
    <xf numFmtId="0" fontId="37" fillId="4" borderId="0" applyAlignment="1" pivotButton="0" quotePrefix="0" xfId="0">
      <alignment horizontal="left" vertical="center" wrapText="1" indent="1"/>
    </xf>
    <xf numFmtId="0" fontId="34" fillId="0" borderId="2" applyAlignment="1" pivotButton="0" quotePrefix="0" xfId="0">
      <alignment horizontal="left" vertical="center" wrapText="1" indent="1"/>
    </xf>
    <xf numFmtId="0" fontId="35" fillId="9" borderId="1" applyAlignment="1" pivotButton="0" quotePrefix="0" xfId="0">
      <alignment horizontal="left" vertical="center" wrapText="1" indent="1"/>
    </xf>
    <xf numFmtId="0" fontId="35" fillId="9" borderId="1" applyAlignment="1" pivotButton="0" quotePrefix="0" xfId="0">
      <alignment horizontal="center" vertical="center" wrapText="1"/>
    </xf>
    <xf numFmtId="0" fontId="36" fillId="0" borderId="1" applyAlignment="1" pivotButton="0" quotePrefix="0" xfId="0">
      <alignment horizontal="center" vertical="center" wrapText="1"/>
    </xf>
    <xf numFmtId="3" fontId="36" fillId="0" borderId="1" applyAlignment="1" pivotButton="0" quotePrefix="0" xfId="0">
      <alignment horizontal="center" vertical="center" wrapText="1"/>
    </xf>
    <xf numFmtId="165" fontId="36" fillId="0" borderId="1" applyAlignment="1" pivotButton="0" quotePrefix="0" xfId="0">
      <alignment horizontal="center" vertical="center" wrapText="1"/>
    </xf>
    <xf numFmtId="0" fontId="36" fillId="0" borderId="1" applyAlignment="1" pivotButton="0" quotePrefix="0" xfId="0">
      <alignment horizontal="left" vertical="center" wrapText="1" indent="1"/>
    </xf>
    <xf numFmtId="0" fontId="34" fillId="0" borderId="1" applyAlignment="1" pivotButton="0" quotePrefix="0" xfId="0">
      <alignment horizontal="left" vertical="center" wrapText="1" indent="1"/>
    </xf>
    <xf numFmtId="0" fontId="0" fillId="0" borderId="3" pivotButton="0" quotePrefix="0" xfId="0"/>
    <xf numFmtId="0" fontId="0" fillId="0" borderId="4"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38" fillId="0" borderId="0" applyAlignment="1" pivotButton="0" quotePrefix="0" xfId="0">
      <alignment horizontal="left" vertical="center" wrapText="1" indent="1"/>
    </xf>
    <xf numFmtId="0" fontId="39" fillId="0" borderId="0" applyAlignment="1" pivotButton="0" quotePrefix="0" xfId="0">
      <alignment horizontal="left" vertical="center" wrapText="1" indent="1"/>
    </xf>
    <xf numFmtId="0" fontId="40" fillId="13" borderId="0" applyAlignment="1" pivotButton="0" quotePrefix="0" xfId="0">
      <alignment horizontal="left" vertical="center" wrapText="1" indent="1"/>
    </xf>
    <xf numFmtId="0" fontId="0" fillId="13" borderId="0" pivotButton="0" quotePrefix="0" xfId="0"/>
    <xf numFmtId="0" fontId="19" fillId="14" borderId="0" applyAlignment="1" pivotButton="0" quotePrefix="0" xfId="0">
      <alignment horizontal="left" vertical="center" wrapText="1" indent="1"/>
    </xf>
  </cellXfs>
  <cellStyles count="1">
    <cellStyle name="Normal" xfId="0" builtinId="0" hidden="0"/>
  </cellStyles>
  <dxfs count="3">
    <dxf>
      <font>
        <b val="1"/>
        <color rgb="00216348"/>
      </font>
      <fill>
        <patternFill patternType="solid">
          <fgColor rgb="00E6F2EB"/>
        </patternFill>
      </fill>
    </dxf>
    <dxf>
      <font>
        <b val="1"/>
        <color rgb="009C2A2A"/>
      </font>
      <fill>
        <patternFill patternType="solid">
          <fgColor rgb="00FCE9E9"/>
        </patternFill>
      </fill>
    </dxf>
    <dxf>
      <font>
        <b val="1"/>
        <color rgb="0080601B"/>
      </font>
      <fill>
        <patternFill patternType="solid">
          <fgColor rgb="00FFF4D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User</author>
  </authors>
  <commentList>
    <comment ref="C16" authorId="0" shapeId="0">
      <text>
        <t>② 발생 원인의 핵심을 한 줄로 요약합니다.</t>
      </text>
    </comment>
    <comment ref="C21" authorId="0" shapeId="0">
      <text>
        <t>④의 상세 대책을 한두 문장으로 요약합니다. 상세 내용 변경 시 함께 갱신하세요.</t>
      </text>
    </comment>
  </commentList>
</comment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20</row>
      <rowOff>0</rowOff>
    </from>
    <ext cx="5905500" cy="2857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5905500" cy="2857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F3864"/>
    <outlinePr summaryBelow="1" summaryRight="1"/>
    <pageSetUpPr fitToPage="0"/>
  </sheetPr>
  <dimension ref="A1:L42"/>
  <sheetViews>
    <sheetView showGridLines="0" zoomScale="90" workbookViewId="0">
      <pane xSplit="2" ySplit="8" topLeftCell="C9" activePane="bottomRight" state="frozen"/>
      <selection pane="topRight"/>
      <selection pane="bottomLeft"/>
      <selection pane="bottomRight" activeCell="A1" sqref="A1"/>
    </sheetView>
  </sheetViews>
  <sheetFormatPr baseColWidth="8" defaultRowHeight="15"/>
  <cols>
    <col width="7.3" customWidth="1" min="1" max="1"/>
    <col width="7.3" customWidth="1" min="2" max="2"/>
    <col width="7.3" customWidth="1" min="3" max="3"/>
    <col width="7.3" customWidth="1" min="4" max="4"/>
    <col width="7.3" customWidth="1" min="5" max="5"/>
    <col width="7.3" customWidth="1" min="6" max="6"/>
    <col width="7.3" customWidth="1" min="7" max="7"/>
    <col width="7.3" customWidth="1" min="8" max="8"/>
    <col width="7.3" customWidth="1" min="9" max="9"/>
    <col width="7.3" customWidth="1" min="10" max="10"/>
    <col width="7.3" customWidth="1" min="11" max="11"/>
    <col width="7.3" customWidth="1" min="12" max="12"/>
  </cols>
  <sheetData>
    <row r="1" ht="34" customHeight="1">
      <c r="A1" s="44" t="inlineStr">
        <is>
          <t>불량 대책서</t>
        </is>
      </c>
      <c r="J1" s="45" t="inlineStr">
        <is>
          <t>v2  /  검토용</t>
        </is>
      </c>
      <c r="K1" s="46" t="n"/>
      <c r="L1" s="46" t="n"/>
    </row>
    <row r="2" ht="22" customHeight="1">
      <c r="A2" s="47" t="inlineStr">
        <is>
          <t>01  현황 · 초동 조치     /     02  원인 · 대책 · 검증 · 종결</t>
        </is>
      </c>
      <c r="J2" s="48" t="inlineStr">
        <is>
          <t>CAP</t>
        </is>
      </c>
    </row>
    <row r="3" ht="30" customHeight="1">
      <c r="A3" s="49" t="inlineStr">
        <is>
          <t>문서번호</t>
        </is>
      </c>
      <c r="B3" s="46" t="n"/>
      <c r="C3" s="50" t="inlineStr">
        <is>
          <t>QA-CAP-CRACK-20260819-001</t>
        </is>
      </c>
      <c r="H3" s="49" t="inlineStr">
        <is>
          <t>발행일시</t>
        </is>
      </c>
      <c r="I3" s="46" t="n"/>
      <c r="J3" s="51" t="inlineStr">
        <is>
          <t>2026-08-19 09:00:00</t>
        </is>
      </c>
    </row>
    <row r="4" ht="34" customHeight="1">
      <c r="A4" s="49" t="inlineStr">
        <is>
          <t>대상 부품</t>
        </is>
      </c>
      <c r="B4" s="46" t="n"/>
      <c r="C4" s="50" t="inlineStr">
        <is>
          <t>CAP  (MLCC)</t>
        </is>
      </c>
      <c r="H4" s="49" t="inlineStr">
        <is>
          <t>불량 유형</t>
        </is>
      </c>
      <c r="I4" s="46" t="n"/>
      <c r="J4" s="51" t="inlineStr">
        <is>
          <t>CRACK</t>
        </is>
      </c>
    </row>
    <row r="5" ht="28" customHeight="1">
      <c r="A5" s="49" t="inlineStr">
        <is>
          <t>주관 담당</t>
        </is>
      </c>
      <c r="B5" s="46" t="n"/>
      <c r="C5" s="50" t="inlineStr">
        <is>
          <t>품질보증팀 김OO</t>
        </is>
      </c>
      <c r="H5" s="49" t="inlineStr">
        <is>
          <t>협조 부서</t>
        </is>
      </c>
      <c r="I5" s="46" t="n"/>
      <c r="J5" s="51" t="inlineStr">
        <is>
          <t>설비팀 · 생산팀 · 구매</t>
        </is>
      </c>
    </row>
    <row r="6" ht="32" customHeight="1">
      <c r="A6" s="49" t="inlineStr">
        <is>
          <t>발행 대상</t>
        </is>
      </c>
      <c r="B6" s="46" t="n"/>
      <c r="C6" s="50" t="inlineStr">
        <is>
          <t>Job 7112 · Unit 10412 · CAP-02</t>
        </is>
      </c>
      <c r="H6" s="49" t="inlineStr">
        <is>
          <t>검사 시각</t>
        </is>
      </c>
      <c r="I6" s="46" t="n"/>
      <c r="J6" s="51" t="inlineStr">
        <is>
          <t>2026-08-18 16:30:12</t>
        </is>
      </c>
    </row>
    <row r="7" ht="40" customHeight="1">
      <c r="A7" s="49" t="inlineStr">
        <is>
          <t xml:space="preserve">  CLOSED     ①~④ 작성 완료   ⑤ 효과 검증 · ⑥ 종결은 「대책서」 2쪽</t>
        </is>
      </c>
      <c r="B7" s="46" t="n"/>
      <c r="C7" s="46" t="n"/>
      <c r="D7" s="46" t="n"/>
      <c r="E7" s="46" t="n"/>
      <c r="F7" s="46" t="n"/>
      <c r="G7" s="46" t="n"/>
      <c r="H7" s="46" t="n"/>
      <c r="I7" s="46" t="n"/>
      <c r="J7" s="46" t="n"/>
      <c r="K7" s="46" t="n"/>
      <c r="L7" s="46" t="n"/>
    </row>
    <row r="8" ht="8" customHeight="1">
      <c r="A8" s="52" t="n"/>
      <c r="B8" s="52" t="n"/>
      <c r="C8" s="52" t="n"/>
      <c r="D8" s="52" t="n"/>
      <c r="E8" s="52" t="n"/>
      <c r="F8" s="52" t="n"/>
      <c r="G8" s="52" t="n"/>
      <c r="H8" s="52" t="n"/>
      <c r="I8" s="52" t="n"/>
      <c r="J8" s="52" t="n"/>
      <c r="K8" s="52" t="n"/>
      <c r="L8" s="52" t="n"/>
    </row>
    <row r="9" ht="22" customHeight="1">
      <c r="A9" s="53" t="inlineStr">
        <is>
          <t>불량 현황  |  발행 시점과 대책 적용 후 비교</t>
        </is>
      </c>
      <c r="B9" s="54" t="n"/>
      <c r="C9" s="54" t="n"/>
      <c r="D9" s="54" t="n"/>
      <c r="E9" s="54" t="n"/>
      <c r="F9" s="54" t="n"/>
      <c r="G9" s="54" t="n"/>
      <c r="H9" s="54" t="n"/>
      <c r="I9" s="54" t="n"/>
      <c r="J9" s="54" t="n"/>
      <c r="K9" s="54" t="n"/>
      <c r="L9" s="54" t="n"/>
    </row>
    <row r="10" ht="22" customHeight="1">
      <c r="A10" s="49" t="inlineStr">
        <is>
          <t>검사 수량</t>
        </is>
      </c>
      <c r="B10" s="46" t="n"/>
      <c r="C10" s="46" t="n"/>
      <c r="D10" s="49" t="inlineStr">
        <is>
          <t>불량 수량</t>
        </is>
      </c>
      <c r="E10" s="46" t="n"/>
      <c r="F10" s="46" t="n"/>
      <c r="G10" s="49" t="inlineStr">
        <is>
          <t>발행 시점 PPM</t>
        </is>
      </c>
      <c r="H10" s="46" t="n"/>
      <c r="I10" s="46" t="n"/>
      <c r="J10" s="49" t="inlineStr">
        <is>
          <t>검증 PPM</t>
        </is>
      </c>
      <c r="K10" s="46" t="n"/>
      <c r="L10" s="46" t="n"/>
    </row>
    <row r="11" ht="36" customHeight="1">
      <c r="A11" s="55" t="n">
        <v>12500</v>
      </c>
      <c r="B11" s="46" t="n"/>
      <c r="C11" s="46" t="n"/>
      <c r="D11" s="55" t="n">
        <v>16</v>
      </c>
      <c r="E11" s="46" t="n"/>
      <c r="F11" s="46" t="n"/>
      <c r="G11" s="55" t="n">
        <v>1280</v>
      </c>
      <c r="H11" s="46" t="n"/>
      <c r="I11" s="46" t="n"/>
      <c r="J11" s="55">
        <f>IF(AND(ISNUMBER(F34),ISNUMBER(H34),F34&gt;0),H34/F34*1000000,"")</f>
        <v/>
      </c>
      <c r="K11" s="46" t="n"/>
      <c r="L11" s="46" t="n"/>
    </row>
    <row r="12" ht="34" customHeight="1">
      <c r="A12" s="49" t="inlineStr">
        <is>
          <t>집계 기간</t>
        </is>
      </c>
      <c r="B12" s="46" t="n"/>
      <c r="C12" s="51" t="inlineStr">
        <is>
          <t>2026-08-12 ~ 08-19  (7일 / ROLLING)</t>
        </is>
      </c>
      <c r="H12" s="49" t="inlineStr">
        <is>
          <t>레시피</t>
        </is>
      </c>
      <c r="I12" s="46" t="n"/>
      <c r="J12" s="51" t="inlineStr">
        <is>
          <t>mock-v3</t>
        </is>
      </c>
    </row>
    <row r="13" ht="32" customHeight="1">
      <c r="A13" s="49" t="inlineStr">
        <is>
          <t>발생 위치</t>
        </is>
      </c>
      <c r="B13" s="46" t="n"/>
      <c r="C13" s="51" t="inlineStr">
        <is>
          <t>CAP-02 8건 · CAP-04 5건</t>
        </is>
      </c>
      <c r="H13" s="49" t="inlineStr">
        <is>
          <t>발행 기준</t>
        </is>
      </c>
      <c r="I13" s="46" t="n"/>
      <c r="J13" s="51" t="inlineStr">
        <is>
          <t>확정 불량 1건</t>
        </is>
      </c>
    </row>
    <row r="14" ht="42" customHeight="1">
      <c r="A14" s="49" t="inlineStr">
        <is>
          <t>완제품 영향</t>
        </is>
      </c>
      <c r="B14" s="46" t="n"/>
      <c r="C14" s="51" t="inlineStr">
        <is>
          <t>2,500대 중 15대 (0.60%)</t>
        </is>
      </c>
      <c r="F14" s="49" t="inlineStr">
        <is>
          <t>제조사 P/N</t>
        </is>
      </c>
      <c r="G14" s="46" t="n"/>
      <c r="H14" s="56" t="inlineStr">
        <is>
          <t>일치 · Contoso CX-0603X7R104K100
정격 0.10µF ±10% 100V X7R 0603 · 공급사 Northwind Traders</t>
        </is>
      </c>
    </row>
    <row r="15" ht="56" customHeight="1">
      <c r="A15" s="49" t="inlineStr">
        <is>
          <t>자동 분석</t>
        </is>
      </c>
      <c r="B15" s="46" t="n"/>
      <c r="C15" s="57" t="inlineStr">
        <is>
          <t>확정 불량 1건을 기준으로 즉시 발행했다. 발행 시점까지 동일 Job·부품·유형은 16건이며 CAP-02·CAP-04에 13건이 기록됐다. 원인은 자동 추정하지 않으며 담당자가 검사 이미지와 데이터시트 품질 기준을 확인한다.</t>
        </is>
      </c>
      <c r="D15" s="46" t="n"/>
      <c r="E15" s="46" t="n"/>
      <c r="F15" s="46" t="n"/>
      <c r="G15" s="46" t="n"/>
      <c r="H15" s="46" t="n"/>
      <c r="I15" s="46" t="n"/>
      <c r="J15" s="46" t="n"/>
      <c r="K15" s="46" t="n"/>
      <c r="L15" s="46" t="n"/>
    </row>
    <row r="16" ht="34" customHeight="1">
      <c r="A16" s="49" t="inlineStr">
        <is>
          <t>핵심 원인</t>
        </is>
      </c>
      <c r="B16" s="46" t="n"/>
      <c r="C16" s="58" t="inlineStr">
        <is>
          <t>배치 하강속도 상향 + 지지 핀 최원거리 슬롯</t>
        </is>
      </c>
      <c r="D16" s="59" t="n"/>
      <c r="E16" s="59" t="n"/>
      <c r="F16" s="59" t="n"/>
      <c r="G16" s="59" t="n"/>
      <c r="H16" s="59" t="n"/>
      <c r="I16" s="59" t="n"/>
      <c r="J16" s="59" t="n"/>
      <c r="K16" s="59" t="n"/>
      <c r="L16" s="59" t="n"/>
    </row>
    <row r="17" ht="8" customHeight="1">
      <c r="A17" s="52" t="n"/>
      <c r="B17" s="52" t="n"/>
      <c r="C17" s="52" t="n"/>
      <c r="D17" s="52" t="n"/>
      <c r="E17" s="52" t="n"/>
      <c r="F17" s="52" t="n"/>
      <c r="G17" s="52" t="n"/>
      <c r="H17" s="52" t="n"/>
      <c r="I17" s="52" t="n"/>
      <c r="J17" s="52" t="n"/>
      <c r="K17" s="52" t="n"/>
      <c r="L17" s="52" t="n"/>
    </row>
    <row r="18" ht="22" customHeight="1">
      <c r="A18" s="53" t="inlineStr">
        <is>
          <t>① 초동 조치  |  확산 방지와 영향 범위</t>
        </is>
      </c>
      <c r="B18" s="54" t="n"/>
      <c r="C18" s="54" t="n"/>
      <c r="D18" s="54" t="n"/>
      <c r="E18" s="54" t="n"/>
      <c r="F18" s="54" t="n"/>
      <c r="G18" s="54" t="n"/>
      <c r="H18" s="54" t="n"/>
      <c r="I18" s="54" t="n"/>
      <c r="J18" s="54" t="n"/>
      <c r="K18" s="54" t="n"/>
      <c r="L18" s="54" t="n"/>
    </row>
    <row r="19" ht="32" customHeight="1">
      <c r="A19" s="60" t="inlineStr">
        <is>
          <t>협조 필요    ☑ 생산 중단    ☑ 출하 보류    ☑ 재고 선별    ☐ 고객 통보    ☐ 설비 정지</t>
        </is>
      </c>
      <c r="B19" s="59" t="n"/>
      <c r="C19" s="59" t="n"/>
      <c r="D19" s="59" t="n"/>
      <c r="E19" s="59" t="n"/>
      <c r="F19" s="59" t="n"/>
      <c r="G19" s="59" t="n"/>
      <c r="H19" s="59" t="n"/>
      <c r="I19" s="59" t="n"/>
      <c r="J19" s="59" t="n"/>
      <c r="K19" s="59" t="n"/>
      <c r="L19" s="59" t="n"/>
    </row>
    <row r="20" ht="100" customHeight="1">
      <c r="A20" s="61" t="inlineStr">
        <is>
          <t>08-19 10:20  CAP-02·CAP-04 슬롯 정지, 생산팀장 승인(구두 10:15 · 결재 10:40).
08-16 이후 생산분 전량 출하 보류 — job 7112~7139 / unit 10388~10604 (2,500대).
전수 AOI 재검에서 9건 추가 검출, 누적 25건 / 24대 격리. 고객 통보 대상 아님(출하 전).
배치 하강속도만 mock-v2 값으로 되돌린 임시 레시피 mock-v3h 적용 후 10:50 생산 재개. 08-19 18:00 기준 재발 없음.</t>
        </is>
      </c>
      <c r="B20" s="59" t="n"/>
      <c r="C20" s="59" t="n"/>
      <c r="D20" s="59" t="n"/>
      <c r="E20" s="59" t="n"/>
      <c r="F20" s="59" t="n"/>
      <c r="G20" s="59" t="n"/>
      <c r="H20" s="59" t="n"/>
      <c r="I20" s="59" t="n"/>
      <c r="J20" s="59" t="n"/>
      <c r="K20" s="59" t="n"/>
      <c r="L20" s="59" t="n"/>
    </row>
    <row r="21" ht="26" customHeight="1">
      <c r="A21" s="49" t="inlineStr">
        <is>
          <t>대책 요약</t>
        </is>
      </c>
      <c r="B21" s="46" t="n"/>
      <c r="C21" s="62" t="inlineStr">
        <is>
          <t>하강속도·파지력 조정, 보드 지지 핀 추가. 부품 교체 없음.</t>
        </is>
      </c>
      <c r="D21" s="59" t="n"/>
      <c r="E21" s="59" t="n"/>
      <c r="F21" s="59" t="n"/>
      <c r="G21" s="59" t="n"/>
      <c r="H21" s="59" t="n"/>
      <c r="I21" s="59" t="n"/>
      <c r="J21" s="59" t="n"/>
      <c r="K21" s="59" t="n"/>
      <c r="L21" s="59" t="n"/>
    </row>
    <row r="22" ht="50" customHeight="1">
      <c r="A22" s="46" t="n"/>
      <c r="B22" s="46" t="n"/>
      <c r="C22" s="59" t="n"/>
      <c r="D22" s="59" t="n"/>
      <c r="E22" s="59" t="n"/>
      <c r="F22" s="59" t="n"/>
      <c r="G22" s="59" t="n"/>
      <c r="H22" s="59" t="n"/>
      <c r="I22" s="59" t="n"/>
      <c r="J22" s="59" t="n"/>
      <c r="K22" s="59" t="n"/>
      <c r="L22" s="59" t="n"/>
    </row>
    <row r="23" ht="16" customHeight="1">
      <c r="A23" s="63" t="inlineStr">
        <is>
          <t>작성 안내: 연노랑은 담당자 입력 · 파랑은 현황/계산 · 상세 원인부터 종결까지 다음 페이지에 이어집니다.</t>
        </is>
      </c>
    </row>
    <row r="24" ht="28" customHeight="1">
      <c r="A24" s="53" t="inlineStr">
        <is>
          <t>불량 대책서  |  원인 · 대책 · 검증 · 종결</t>
        </is>
      </c>
      <c r="B24" s="54" t="n"/>
      <c r="C24" s="54" t="n"/>
      <c r="D24" s="54" t="n"/>
      <c r="E24" s="54" t="n"/>
      <c r="F24" s="54" t="n"/>
      <c r="G24" s="54" t="n"/>
      <c r="H24" s="54" t="n"/>
      <c r="I24" s="54" t="n"/>
      <c r="J24" s="54" t="n"/>
      <c r="K24" s="54" t="n"/>
      <c r="L24" s="54" t="n"/>
    </row>
    <row r="25" ht="22" customHeight="1">
      <c r="A25" s="47">
        <f>C3&amp;"  ·  "&amp;C4&amp;"  /  "&amp;J4</f>
        <v/>
      </c>
    </row>
    <row r="26" ht="22" customHeight="1">
      <c r="A26" s="53" t="inlineStr">
        <is>
          <t>② 발생 원인  |  재현·실물 확인 근거</t>
        </is>
      </c>
      <c r="B26" s="54" t="n"/>
      <c r="C26" s="54" t="n"/>
      <c r="D26" s="54" t="n"/>
      <c r="E26" s="54" t="n"/>
      <c r="F26" s="54" t="n"/>
      <c r="G26" s="54" t="n"/>
      <c r="H26" s="54" t="n"/>
      <c r="I26" s="54" t="n"/>
      <c r="J26" s="54" t="n"/>
      <c r="K26" s="54" t="n"/>
      <c r="L26" s="54" t="n"/>
    </row>
    <row r="27" ht="84" customHeight="1">
      <c r="A27" s="61" t="inlineStr">
        <is>
          <t>mock-v3 에서 배치 하강속도(18 → 32 mm/s)와 그리퍼 파지력(3.0 → 4.0 N)을 함께 올렸다.
CAP-02·CAP-04 는 보드 지지 핀에서 가장 먼 위치라 착지 충격 시 국부 굽힘이 가장 크다. 설비팀 로그에서 두 슬롯 피크력이 다른 CAP 슬롯의 1.7배(6.8N vs 4.0N).
mock-v3h 로 되돌린 뒤 재발이 멈춘 것으로 검증했다(가설 아님). 불량 25건이 입고 Lot 4개에 고르게 분포해 부품 Lot 요인은 배제한다.</t>
        </is>
      </c>
      <c r="B27" s="59" t="n"/>
      <c r="C27" s="59" t="n"/>
      <c r="D27" s="59" t="n"/>
      <c r="E27" s="59" t="n"/>
      <c r="F27" s="59" t="n"/>
      <c r="G27" s="59" t="n"/>
      <c r="H27" s="59" t="n"/>
      <c r="I27" s="59" t="n"/>
      <c r="J27" s="59" t="n"/>
      <c r="K27" s="59" t="n"/>
      <c r="L27" s="59" t="n"/>
    </row>
    <row r="28" ht="22" customHeight="1">
      <c r="A28" s="53" t="inlineStr">
        <is>
          <t>③ 유출 원인  |  검사·판정 기준의 한계</t>
        </is>
      </c>
      <c r="B28" s="54" t="n"/>
      <c r="C28" s="54" t="n"/>
      <c r="D28" s="54" t="n"/>
      <c r="E28" s="54" t="n"/>
      <c r="F28" s="54" t="n"/>
      <c r="G28" s="54" t="n"/>
      <c r="H28" s="54" t="n"/>
      <c r="I28" s="54" t="n"/>
      <c r="J28" s="54" t="n"/>
      <c r="K28" s="54" t="n"/>
      <c r="L28" s="54" t="n"/>
    </row>
    <row r="29" ht="70" customHeight="1">
      <c r="A29" s="61" t="inlineStr">
        <is>
          <t>인라인 AOI 판정 기준이 단자 들뜸과 외관 결손만 보고 있어 미세 굽힘 크랙을 걸러내지 못했다.
「부품 검토자료」의 MLCC 항목은 '크랙 의심 Lot 단면 또는 비파괴 검사'를 요구하지만, 현재 인라인에는 해당 항목이 없고 단면 검사는 주 1회 샘플로만 돌고 있었다.
그 결과 08-16 생산분에 이미 크랙이 있었으나 08-18 16:30 임계 초과 시점까지 검출되지 않았다.</t>
        </is>
      </c>
      <c r="B29" s="59" t="n"/>
      <c r="C29" s="59" t="n"/>
      <c r="D29" s="59" t="n"/>
      <c r="E29" s="59" t="n"/>
      <c r="F29" s="59" t="n"/>
      <c r="G29" s="59" t="n"/>
      <c r="H29" s="59" t="n"/>
      <c r="I29" s="59" t="n"/>
      <c r="J29" s="59" t="n"/>
      <c r="K29" s="59" t="n"/>
      <c r="L29" s="59" t="n"/>
    </row>
    <row r="30" ht="22" customHeight="1">
      <c r="A30" s="53" t="inlineStr">
        <is>
          <t>④ 재발방지 대책  |  적용 내용 · 담당 · 일정 · 수평전개</t>
        </is>
      </c>
      <c r="B30" s="54" t="n"/>
      <c r="C30" s="54" t="n"/>
      <c r="D30" s="54" t="n"/>
      <c r="E30" s="54" t="n"/>
      <c r="F30" s="54" t="n"/>
      <c r="G30" s="54" t="n"/>
      <c r="H30" s="54" t="n"/>
      <c r="I30" s="54" t="n"/>
      <c r="J30" s="54" t="n"/>
      <c r="K30" s="54" t="n"/>
      <c r="L30" s="54" t="n"/>
    </row>
    <row r="31" ht="84" customHeight="1">
      <c r="A31" s="61" t="inlineStr">
        <is>
          <t>영구대책 ① 레시피 — 하강속도 20 mm/s, 파지력 3.2 N 으로 확정한 mock-v4 적용. 변경관리 ECN-2608-114 승인 08-21, 적용 08-29.
영구대책 ② 설비 — CAP-02·CAP-04 에 보드 지지 핀 2개 추가(설비팀, 08-28 완료). 수평전개로 IND-01·IND-02 에도 함께 적용했다.
부품 교체는 하지 않는다. 「부품 검토자료」 후보 2종 모두 표준 단자라 굽힘 크랙 개선 근거가 없다.</t>
        </is>
      </c>
      <c r="B31" s="59" t="n"/>
      <c r="C31" s="59" t="n"/>
      <c r="D31" s="59" t="n"/>
      <c r="E31" s="59" t="n"/>
      <c r="F31" s="59" t="n"/>
      <c r="G31" s="59" t="n"/>
      <c r="H31" s="59" t="n"/>
      <c r="I31" s="59" t="n"/>
      <c r="J31" s="59" t="n"/>
      <c r="K31" s="59" t="n"/>
      <c r="L31" s="59" t="n"/>
    </row>
    <row r="32" ht="22" customHeight="1">
      <c r="A32" s="53" t="inlineStr">
        <is>
          <t>⑤ 효과 검증  |  적용 후 2~4주</t>
        </is>
      </c>
      <c r="B32" s="54" t="n"/>
      <c r="C32" s="54" t="n"/>
      <c r="D32" s="54" t="n"/>
      <c r="E32" s="54" t="n"/>
      <c r="F32" s="54" t="n"/>
      <c r="G32" s="54" t="n"/>
      <c r="H32" s="54" t="n"/>
      <c r="I32" s="54" t="n"/>
      <c r="J32" s="54" t="n"/>
      <c r="K32" s="54" t="n"/>
      <c r="L32" s="54" t="n"/>
    </row>
    <row r="33" ht="26" customHeight="1">
      <c r="A33" s="49" t="inlineStr">
        <is>
          <t>검증 기간</t>
        </is>
      </c>
      <c r="B33" s="46" t="n"/>
      <c r="C33" s="46" t="n"/>
      <c r="D33" s="49" t="inlineStr">
        <is>
          <t>적용 레시피</t>
        </is>
      </c>
      <c r="E33" s="46" t="n"/>
      <c r="F33" s="49" t="inlineStr">
        <is>
          <t>검사 수량</t>
        </is>
      </c>
      <c r="G33" s="46" t="n"/>
      <c r="H33" s="49" t="inlineStr">
        <is>
          <t>불량 수량</t>
        </is>
      </c>
      <c r="I33" s="46" t="n"/>
      <c r="J33" s="49" t="inlineStr">
        <is>
          <t>판정</t>
        </is>
      </c>
      <c r="K33" s="46" t="n"/>
      <c r="L33" s="46" t="n"/>
    </row>
    <row r="34" ht="32" customHeight="1">
      <c r="A34" s="64" t="inlineStr">
        <is>
          <t>08-29 ~ 09-12</t>
        </is>
      </c>
      <c r="B34" s="59" t="n"/>
      <c r="C34" s="59" t="n"/>
      <c r="D34" s="64" t="inlineStr">
        <is>
          <t>mock-v4</t>
        </is>
      </c>
      <c r="E34" s="59" t="n"/>
      <c r="F34" s="65" t="n">
        <v>24500</v>
      </c>
      <c r="G34" s="59" t="n"/>
      <c r="H34" s="65" t="n">
        <v>3</v>
      </c>
      <c r="I34" s="59" t="n"/>
      <c r="J34" s="64" t="inlineStr">
        <is>
          <t>EFFECTIVE</t>
        </is>
      </c>
      <c r="K34" s="59" t="n"/>
      <c r="L34" s="59" t="n"/>
    </row>
    <row r="35" ht="24" customHeight="1">
      <c r="A35" s="49" t="inlineStr">
        <is>
          <t>검증 불량률</t>
        </is>
      </c>
      <c r="B35" s="46" t="n"/>
      <c r="C35" s="46" t="n"/>
      <c r="D35" s="66">
        <f>IF(AND(ISNUMBER(F34),ISNUMBER(H34),F34&gt;0),H34/F34,"")</f>
        <v/>
      </c>
      <c r="E35" s="46" t="n"/>
      <c r="F35" s="47" t="inlineStr">
        <is>
          <t>판정 근거는 아래에 작성합니다. 수량은 부품 검사 건수 기준입니다.</t>
        </is>
      </c>
    </row>
    <row r="36" ht="48" customHeight="1">
      <c r="A36" s="61" t="inlineStr">
        <is>
          <t>CRACK 3건 / 24,500건 = 122 PPM. 기준 400 PPM 의 0.31배이고 최소 검사 건수를 충족한다. 대책 전 1,280 PPM 대비 10.5배 개선, CAP-02·CAP-04 집중도도 해소됐다.</t>
        </is>
      </c>
      <c r="B36" s="59" t="n"/>
      <c r="C36" s="59" t="n"/>
      <c r="D36" s="59" t="n"/>
      <c r="E36" s="59" t="n"/>
      <c r="F36" s="59" t="n"/>
      <c r="G36" s="59" t="n"/>
      <c r="H36" s="59" t="n"/>
      <c r="I36" s="59" t="n"/>
      <c r="J36" s="59" t="n"/>
      <c r="K36" s="59" t="n"/>
      <c r="L36" s="59" t="n"/>
    </row>
    <row r="37" ht="22" customHeight="1">
      <c r="A37" s="53" t="inlineStr">
        <is>
          <t>⑥ 종결 판정</t>
        </is>
      </c>
      <c r="B37" s="54" t="n"/>
      <c r="C37" s="54" t="n"/>
      <c r="D37" s="54" t="n"/>
      <c r="E37" s="54" t="n"/>
      <c r="F37" s="54" t="n"/>
      <c r="G37" s="54" t="n"/>
      <c r="H37" s="54" t="n"/>
      <c r="I37" s="54" t="n"/>
      <c r="J37" s="54" t="n"/>
      <c r="K37" s="54" t="n"/>
      <c r="L37" s="54" t="n"/>
    </row>
    <row r="38" ht="28" customHeight="1">
      <c r="A38" s="49" t="inlineStr">
        <is>
          <t>종결일</t>
        </is>
      </c>
      <c r="B38" s="46" t="n"/>
      <c r="C38" s="62" t="inlineStr">
        <is>
          <t>2026-09-15</t>
        </is>
      </c>
      <c r="D38" s="59" t="n"/>
      <c r="E38" s="59" t="n"/>
      <c r="F38" s="59" t="n"/>
      <c r="G38" s="47" t="inlineStr">
        <is>
          <t>잔여 위험과 이관 사항을 종결 의견에 기록</t>
        </is>
      </c>
    </row>
    <row r="39" ht="56" customHeight="1">
      <c r="A39" s="61" t="inlineStr">
        <is>
          <t>영구대책 적용과 효과가 확인되어 종결한다. 잔여 위험 — 지지 핀은 현재 보드 리비전 기준이라 레이아웃 변경 시 재검토가 필요하다. AOI 기준 보완은 별건 QA-PROC-2609-003 으로 이관.</t>
        </is>
      </c>
      <c r="B39" s="59" t="n"/>
      <c r="C39" s="59" t="n"/>
      <c r="D39" s="59" t="n"/>
      <c r="E39" s="59" t="n"/>
      <c r="F39" s="59" t="n"/>
      <c r="G39" s="59" t="n"/>
      <c r="H39" s="59" t="n"/>
      <c r="I39" s="59" t="n"/>
      <c r="J39" s="59" t="n"/>
      <c r="K39" s="59" t="n"/>
      <c r="L39" s="59" t="n"/>
    </row>
    <row r="40" ht="20" customHeight="1">
      <c r="A40" s="49" t="inlineStr">
        <is>
          <t>작성</t>
        </is>
      </c>
      <c r="B40" s="46" t="n"/>
      <c r="C40" s="46" t="n"/>
      <c r="D40" s="46" t="n"/>
      <c r="E40" s="49" t="inlineStr">
        <is>
          <t>검토</t>
        </is>
      </c>
      <c r="F40" s="46" t="n"/>
      <c r="G40" s="46" t="n"/>
      <c r="H40" s="46" t="n"/>
      <c r="I40" s="49" t="inlineStr">
        <is>
          <t>승인</t>
        </is>
      </c>
      <c r="J40" s="46" t="n"/>
      <c r="K40" s="46" t="n"/>
      <c r="L40" s="46" t="n"/>
    </row>
    <row r="41" ht="32" customHeight="1">
      <c r="A41" s="62" t="n"/>
      <c r="B41" s="59" t="n"/>
      <c r="C41" s="59" t="n"/>
      <c r="D41" s="59" t="n"/>
      <c r="E41" s="62" t="n"/>
      <c r="F41" s="59" t="n"/>
      <c r="G41" s="59" t="n"/>
      <c r="H41" s="59" t="n"/>
      <c r="I41" s="62" t="n"/>
      <c r="J41" s="59" t="n"/>
      <c r="K41" s="59" t="n"/>
      <c r="L41" s="59" t="n"/>
    </row>
    <row r="42" ht="16" customHeight="1">
      <c r="A42" s="67" t="inlineStr">
        <is>
          <t>검토용 v2 · 종결 샘플의 수치·일자는 원본 예시입니다.</t>
        </is>
      </c>
    </row>
  </sheetData>
  <mergeCells count="87">
    <mergeCell ref="D11:F11"/>
    <mergeCell ref="A15:B15"/>
    <mergeCell ref="A37:L37"/>
    <mergeCell ref="C5:G5"/>
    <mergeCell ref="A21:B22"/>
    <mergeCell ref="J11:L11"/>
    <mergeCell ref="A26:L26"/>
    <mergeCell ref="C4:G4"/>
    <mergeCell ref="A2:I2"/>
    <mergeCell ref="I40:L40"/>
    <mergeCell ref="A23:L23"/>
    <mergeCell ref="J3:L3"/>
    <mergeCell ref="A41:D41"/>
    <mergeCell ref="A34:C34"/>
    <mergeCell ref="H13:I13"/>
    <mergeCell ref="D33:E33"/>
    <mergeCell ref="J13:L13"/>
    <mergeCell ref="A36:L36"/>
    <mergeCell ref="D35:E35"/>
    <mergeCell ref="D34:E34"/>
    <mergeCell ref="F34:G34"/>
    <mergeCell ref="H34:I34"/>
    <mergeCell ref="A32:L32"/>
    <mergeCell ref="F33:G33"/>
    <mergeCell ref="C15:L15"/>
    <mergeCell ref="J2:L2"/>
    <mergeCell ref="J33:L33"/>
    <mergeCell ref="C12:G12"/>
    <mergeCell ref="A31:L31"/>
    <mergeCell ref="I41:L41"/>
    <mergeCell ref="C16:L16"/>
    <mergeCell ref="H3:I3"/>
    <mergeCell ref="J5:L5"/>
    <mergeCell ref="A24:L24"/>
    <mergeCell ref="H12:I12"/>
    <mergeCell ref="E40:H40"/>
    <mergeCell ref="A1:I1"/>
    <mergeCell ref="H5:I5"/>
    <mergeCell ref="G38:L38"/>
    <mergeCell ref="J6:L6"/>
    <mergeCell ref="G10:I10"/>
    <mergeCell ref="A25:L25"/>
    <mergeCell ref="J4:L4"/>
    <mergeCell ref="A18:L18"/>
    <mergeCell ref="A42:L42"/>
    <mergeCell ref="C21:L22"/>
    <mergeCell ref="A3:B3"/>
    <mergeCell ref="A12:B12"/>
    <mergeCell ref="A20:L20"/>
    <mergeCell ref="A29:L29"/>
    <mergeCell ref="A5:B5"/>
    <mergeCell ref="A14:B14"/>
    <mergeCell ref="A4:B4"/>
    <mergeCell ref="A38:B38"/>
    <mergeCell ref="J1:L1"/>
    <mergeCell ref="C14:E14"/>
    <mergeCell ref="J10:L10"/>
    <mergeCell ref="F35:L35"/>
    <mergeCell ref="F14:G14"/>
    <mergeCell ref="J34:L34"/>
    <mergeCell ref="C13:G13"/>
    <mergeCell ref="A7:L7"/>
    <mergeCell ref="C6:G6"/>
    <mergeCell ref="C38:F38"/>
    <mergeCell ref="H4:I4"/>
    <mergeCell ref="A27:L27"/>
    <mergeCell ref="E41:H41"/>
    <mergeCell ref="A6:B6"/>
    <mergeCell ref="A40:D40"/>
    <mergeCell ref="A16:B16"/>
    <mergeCell ref="A33:C33"/>
    <mergeCell ref="H6:I6"/>
    <mergeCell ref="J12:L12"/>
    <mergeCell ref="A35:C35"/>
    <mergeCell ref="A10:C10"/>
    <mergeCell ref="A19:L19"/>
    <mergeCell ref="A28:L28"/>
    <mergeCell ref="A9:L9"/>
    <mergeCell ref="A39:L39"/>
    <mergeCell ref="D10:F10"/>
    <mergeCell ref="G11:I11"/>
    <mergeCell ref="A30:L30"/>
    <mergeCell ref="A11:C11"/>
    <mergeCell ref="H33:I33"/>
    <mergeCell ref="A13:B13"/>
    <mergeCell ref="H14:L14"/>
    <mergeCell ref="C3:G3"/>
  </mergeCells>
  <conditionalFormatting sqref="J34:L34">
    <cfRule type="cellIs" priority="1" operator="equal" dxfId="0">
      <formula>"EFFECTIVE"</formula>
    </cfRule>
    <cfRule type="cellIs" priority="2" operator="equal" dxfId="1">
      <formula>"INEFFECTIVE"</formula>
    </cfRule>
    <cfRule type="cellIs" priority="3" operator="equal" dxfId="2">
      <formula>"PENDING"</formula>
    </cfRule>
  </conditionalFormatting>
  <dataValidations count="17">
    <dataValidation sqref="J4" showDropDown="0" showInputMessage="1" showErrorMessage="1" allowBlank="1" errorTitle="허용되지 않는 값" error="다음 중 하나여야 한다: MISSING,POSITION_ERROR,ORIENTATION_ERROR,CRACK" promptTitle="불량 유형" prompt="참고 시트 2개은 유형과 무관하게 항상 첨부한다.&#10;어느 자료가 이번 건에 쓸모 있는지는 담당자가 판단한다." type="list">
      <formula1>"MISSING,POSITION_ERROR,ORIENTATION_ERROR,CRACK"</formula1>
    </dataValidation>
    <dataValidation sqref="A19" showDropDown="0" showInputMessage="1" showErrorMessage="0" allowBlank="0" promptTitle="① 협조가 필요한 조치" prompt="담당자 혼자 결정할 수 없는 항목이다. 해당하는 것의 ☐ 를 ☑ 로 바꾸고,&#10;아래 칸에 누구에게 언제 요청했는지 적는다.&#10;&#10;생산 중단 → 생산팀장 · 출하 보류 → 영업/물류 · 재고 선별 → 인력 투입 승인&#10;고객 통보 → 품질보증 책임자 · 설비 정지 → 설비팀&#10;"/>
    <dataValidation sqref="A20" showDropDown="0" showInputMessage="1" showErrorMessage="0" allowBlank="0" promptTitle="① 초동 조치 — 오늘 안에" prompt="격리·선별·출하보류 범위와 완료 시각을 적는다.&#10;영향 받는 job_id / unit_id 범위를 함께 적는다.&#10;&#10;원인이 안 나와도 오늘 회신한다. 여기는 '막았는지'만 쓰는 칸이다.&#10;원인을 없애는 것은 ④ 이고, 이 칸은 확산을 멈추는 칸이다.&#10;"/>
    <dataValidation sqref="C16" showDropDown="0" showInputMessage="1" showErrorMessage="0" allowBlank="0" promptTitle="② 발생 원인 — 한 줄 요약 (40자)" prompt="아래 본문을 한 줄로 줄인 것. 예: '배치 하강속도 상향 + 지지 핀 최원거리 슬롯'&#10;본문은 길어서 이 칸에 들어가지 않으므로 핵심 원인만 적는다."/>
    <dataValidation sqref="A27" showDropDown="0" showInputMessage="1" showErrorMessage="0" allowBlank="0" promptTitle="② 발생 원인 — 왜 만들어졌는가" prompt="「불량 근거」의 발생 기록과 검사 이미지를 확인한다.&#10;재현 또는 실물 확인으로 검증한 근거를 적는다.&#10;가설이면 '가설'이라고 표시한다.&#10;"/>
    <dataValidation sqref="A29" showDropDown="0" showInputMessage="1" showErrorMessage="0" allowBlank="0" promptTitle="③ 유출 원인 — 왜 검사에서 걸리지 않았는가" prompt="「부품 검토자료」의 데이터시트 검사 항목과 대조해 판정 기준의 한계를 적는다.&#10;검사를 안 한 것인지, 했는데 못 걸른 것인지 구분한다.&#10;"/>
    <dataValidation sqref="A31" showDropDown="0" showInputMessage="1" showErrorMessage="0" allowBlank="0" promptTitle="④ 재발방지 대책 — 원인을 제거하는 영구대책" prompt="레시피·공정조건을 바꾸면 변경 후 recipe_version을 적는다.&#10;부품을 바꾸면 「부품 검토자료」의 대체품 영역의 대체코드를 적는다.&#10;동일 부품을 쓰는 다른 슬롯으로의 수평전개 여부를 포함한다.&#10;&#10;레시피 변경은 변경관리 승인이, 부품 교체는 고객 승인이 필요할 수 있다.&#10;승인 절차가 걸리면 그 일정도 함께 적는다.&#10;"/>
    <dataValidation sqref="A34" showDropDown="0" showInputMessage="1" showErrorMessage="0" allowBlank="0" promptTitle="⑤ 검증 기간" prompt="대책을 적용하고 다시 집계한 구간. [시작, 끝) 으로 적는다.&#10;"/>
    <dataValidation sqref="D34" showDropDown="0" showInputMessage="1" showErrorMessage="0" allowBlank="0" promptTitle="⑤ 적용 레시피" prompt="대책을 적용한 뒤 실행한 recipe_version.&#10;이 값이 있어야 적용 전후를 같은 제품 안에서 비교할 수 있다.&#10;"/>
    <dataValidation sqref="F34" showDropDown="0" showInputMessage="1" showErrorMessage="0" allowBlank="0" promptTitle="⑤ 검증 검사 수량" prompt="부품 기준 검사 건수 (유닛 수 × 해당 부품 슬롯 수).&#10;"/>
    <dataValidation sqref="H34" showDropDown="0" showInputMessage="1" showErrorMessage="0" allowBlank="0" promptTitle="⑤ 검증 불량 수량" prompt=""/>
    <dataValidation sqref="J34" showDropDown="0" showInputMessage="1" showErrorMessage="1" allowBlank="1" errorTitle="허용되지 않는 값" error="다음 중 하나여야 한다: PENDING,EFFECTIVE,INEFFECTIVE" promptTitle="⑤ 판정" prompt="품질 절차에서 정한 판정 기준에 따라 선택한다." type="list">
      <formula1>"PENDING,EFFECTIVE,INEFFECTIVE"</formula1>
    </dataValidation>
    <dataValidation sqref="J34" showDropDown="0" showInputMessage="1" showErrorMessage="0" allowBlank="0" promptTitle="⑤ 판정" prompt="판정 기준과 비교한 결론을 선택한다.&#10;기준은 해당 품질 절차에서 확인한다."/>
    <dataValidation sqref="A36" showDropDown="0" showInputMessage="1" showErrorMessage="0" allowBlank="0" promptTitle="⑤ 판정 근거" prompt="재집계 결과를 그렇게 읽은 이유.&#10;"/>
    <dataValidation sqref="C38" showDropDown="0" showInputMessage="1" showErrorMessage="0" allowBlank="0" promptTitle="⑥ 종결일" prompt=""/>
    <dataValidation sqref="A39" showDropDown="0" showInputMessage="1" showErrorMessage="0" allowBlank="0" promptTitle="⑥ 종결 의견" prompt="잔여 위험과 종결 승인 의견.&#10;"/>
    <dataValidation sqref="F34 H34" showDropDown="0" showInputMessage="0" showErrorMessage="1" allowBlank="1" errorTitle="수량 확인" error="0 이상의 정수를 입력하세요." type="whole" operator="greaterThanOrEqual">
      <formula1>0</formula1>
    </dataValidation>
  </dataValidations>
  <printOptions horizontalCentered="1"/>
  <pageMargins left="0.32" right="0.32" top="0.35" bottom="0.38" header="0.15" footer="0.17"/>
  <pageSetup orientation="portrait" paperSize="9" scale="100"/>
  <headerFooter>
    <oddHeader/>
    <oddFooter>&amp;L&amp;8 &amp;K627083v2 · 검토용&amp;R&amp;8 &amp;K627083&amp;P / &amp;N</oddFooter>
    <evenHeader/>
    <evenFooter/>
    <firstHeader/>
    <firstFooter/>
  </headerFooter>
  <rowBreaks count="1" manualBreakCount="1">
    <brk id="23" min="0" max="16383" man="1"/>
  </rowBreaks>
  <legacyDrawing xmlns:r="http://schemas.openxmlformats.org/officeDocument/2006/relationships" r:id="anysvml"/>
</worksheet>
</file>

<file path=xl/worksheets/sheet2.xml><?xml version="1.0" encoding="utf-8"?>
<worksheet xmlns="http://schemas.openxmlformats.org/spreadsheetml/2006/main">
  <sheetPr>
    <tabColor rgb="00627083"/>
    <outlinePr summaryBelow="1" summaryRight="1"/>
    <pageSetUpPr fitToPage="1"/>
  </sheetPr>
  <dimension ref="A1:E26"/>
  <sheetViews>
    <sheetView showGridLines="0" zoomScale="90" workbookViewId="0">
      <pane ySplit="11" topLeftCell="A12" activePane="bottomLeft" state="frozen"/>
      <selection pane="bottomLeft" activeCell="A1" sqref="A1"/>
    </sheetView>
  </sheetViews>
  <sheetFormatPr baseColWidth="8" defaultRowHeight="15"/>
  <cols>
    <col width="11" customWidth="1" min="1" max="1"/>
    <col width="12" customWidth="1" min="2" max="2"/>
    <col width="15" customWidth="1" min="3" max="3"/>
    <col width="20" customWidth="1" min="4" max="4"/>
    <col width="40" customWidth="1" min="5" max="5"/>
  </cols>
  <sheetData>
    <row r="1" ht="36" customHeight="1">
      <c r="A1" s="68" t="inlineStr">
        <is>
          <t>불량 근거  |  발행 시점 고정</t>
        </is>
      </c>
    </row>
    <row r="2" ht="36" customHeight="1">
      <c r="A2" s="69" t="inlineStr">
        <is>
          <t>production.unit_defects 확정 기록 · 문서번호 QA-CAP-CRACK-20260819-001 · 수정 금지</t>
        </is>
      </c>
    </row>
    <row r="3" ht="30" customHeight="1">
      <c r="A3" s="70" t="inlineStr">
        <is>
          <t>슬롯별 발생 분포        어느 슬롯에 몰려 있는지 · 공정 원인 판단의 1차 근거</t>
        </is>
      </c>
      <c r="B3" s="36" t="n"/>
      <c r="C3" s="36" t="n"/>
      <c r="D3" s="36" t="n"/>
      <c r="E3" s="30" t="n"/>
    </row>
    <row r="4" ht="30" customHeight="1">
      <c r="A4" s="71" t="inlineStr">
        <is>
          <t>슬롯</t>
        </is>
      </c>
      <c r="B4" s="71" t="inlineStr">
        <is>
          <t>불량 건수</t>
        </is>
      </c>
      <c r="C4" s="71" t="inlineStr">
        <is>
          <t>슬롯 불량률</t>
        </is>
      </c>
      <c r="D4" s="71" t="inlineStr">
        <is>
          <t>비고</t>
        </is>
      </c>
      <c r="E4" s="30" t="n"/>
    </row>
    <row r="5" ht="30" customHeight="1">
      <c r="A5" s="72" t="inlineStr">
        <is>
          <t>CAP-02</t>
        </is>
      </c>
      <c r="B5" s="73" t="n">
        <v>8</v>
      </c>
      <c r="C5" s="74" t="n">
        <v>0.0032</v>
      </c>
      <c r="D5" s="75" t="inlineStr">
        <is>
          <t>상위 2슬롯 81.3% · 공정/설비 우선 의심</t>
        </is>
      </c>
      <c r="E5" s="30" t="n"/>
    </row>
    <row r="6" ht="30" customHeight="1">
      <c r="A6" s="72" t="inlineStr">
        <is>
          <t>CAP-04</t>
        </is>
      </c>
      <c r="B6" s="73" t="n">
        <v>5</v>
      </c>
      <c r="C6" s="74" t="n">
        <v>0.002</v>
      </c>
      <c r="D6" s="32" t="n"/>
      <c r="E6" s="30" t="n"/>
    </row>
    <row r="7" ht="30" customHeight="1">
      <c r="A7" s="72" t="inlineStr">
        <is>
          <t>CAP-01</t>
        </is>
      </c>
      <c r="B7" s="73" t="n">
        <v>2</v>
      </c>
      <c r="C7" s="74" t="n">
        <v>0.0008</v>
      </c>
      <c r="D7" s="32" t="n"/>
      <c r="E7" s="30" t="n"/>
    </row>
    <row r="8" ht="30" customHeight="1">
      <c r="A8" s="72" t="inlineStr">
        <is>
          <t>CAP-05</t>
        </is>
      </c>
      <c r="B8" s="73" t="n">
        <v>1</v>
      </c>
      <c r="C8" s="74" t="n">
        <v>0.0004</v>
      </c>
      <c r="D8" s="32" t="n"/>
      <c r="E8" s="30" t="n"/>
    </row>
    <row r="9" ht="30" customHeight="1"/>
    <row r="10" ht="30" customHeight="1">
      <c r="A10" s="70" t="inlineStr">
        <is>
          <t>불량 유닛 목록</t>
        </is>
      </c>
      <c r="B10" s="36" t="n"/>
      <c r="C10" s="36" t="n"/>
      <c r="D10" s="36" t="n"/>
      <c r="E10" s="30" t="n"/>
    </row>
    <row r="11" ht="30" customHeight="1">
      <c r="A11" s="71" t="inlineStr">
        <is>
          <t>unit_id</t>
        </is>
      </c>
      <c r="B11" s="71" t="inlineStr">
        <is>
          <t>슬롯</t>
        </is>
      </c>
      <c r="C11" s="71" t="inlineStr">
        <is>
          <t>불량 유형</t>
        </is>
      </c>
      <c r="D11" s="71" t="inlineStr">
        <is>
          <t>검사 시각</t>
        </is>
      </c>
      <c r="E11" s="71" t="inlineStr">
        <is>
          <t>검사 이미지 경로</t>
        </is>
      </c>
    </row>
    <row r="12" ht="30" customHeight="1">
      <c r="A12" s="72" t="n">
        <v>10412</v>
      </c>
      <c r="B12" s="72" t="inlineStr">
        <is>
          <t>CAP-02</t>
        </is>
      </c>
      <c r="C12" s="72" t="inlineStr">
        <is>
          <t>CRACK</t>
        </is>
      </c>
      <c r="D12" s="72" t="inlineStr">
        <is>
          <t>2026-08-18 16:30:12</t>
        </is>
      </c>
      <c r="E12" s="75" t="inlineStr">
        <is>
          <t>/var/lib/inspect/2026-08-18/u10412.png</t>
        </is>
      </c>
    </row>
    <row r="13" ht="30" customHeight="1">
      <c r="A13" s="72" t="n">
        <v>10418</v>
      </c>
      <c r="B13" s="72" t="inlineStr">
        <is>
          <t>CAP-04</t>
        </is>
      </c>
      <c r="C13" s="72" t="inlineStr">
        <is>
          <t>CRACK</t>
        </is>
      </c>
      <c r="D13" s="72" t="inlineStr">
        <is>
          <t>2026-08-18 16:41:55</t>
        </is>
      </c>
      <c r="E13" s="75" t="inlineStr">
        <is>
          <t>/var/lib/inspect/2026-08-18/u10418.png</t>
        </is>
      </c>
    </row>
    <row r="14" ht="30" customHeight="1">
      <c r="A14" s="72" t="n">
        <v>10425</v>
      </c>
      <c r="B14" s="72" t="inlineStr">
        <is>
          <t>CAP-02</t>
        </is>
      </c>
      <c r="C14" s="72" t="inlineStr">
        <is>
          <t>CRACK</t>
        </is>
      </c>
      <c r="D14" s="72" t="inlineStr">
        <is>
          <t>2026-08-18 17:02:30</t>
        </is>
      </c>
      <c r="E14" s="75" t="inlineStr">
        <is>
          <t>/var/lib/inspect/2026-08-18/u10425.png</t>
        </is>
      </c>
    </row>
    <row r="15" ht="30" customHeight="1">
      <c r="A15" s="72" t="n">
        <v>10431</v>
      </c>
      <c r="B15" s="72" t="inlineStr">
        <is>
          <t>CAP-02</t>
        </is>
      </c>
      <c r="C15" s="72" t="inlineStr">
        <is>
          <t>CRACK</t>
        </is>
      </c>
      <c r="D15" s="72" t="inlineStr">
        <is>
          <t>2026-08-18 17:19:08</t>
        </is>
      </c>
      <c r="E15" s="75" t="inlineStr">
        <is>
          <t>/var/lib/inspect/2026-08-18/u10431.png</t>
        </is>
      </c>
    </row>
    <row r="16" ht="30" customHeight="1">
      <c r="A16" s="72" t="n">
        <v>10447</v>
      </c>
      <c r="B16" s="72" t="inlineStr">
        <is>
          <t>CAP-04</t>
        </is>
      </c>
      <c r="C16" s="72" t="inlineStr">
        <is>
          <t>CRACK</t>
        </is>
      </c>
      <c r="D16" s="72" t="inlineStr">
        <is>
          <t>2026-08-18 18:03:41</t>
        </is>
      </c>
      <c r="E16" s="75" t="inlineStr">
        <is>
          <t>/var/lib/inspect/2026-08-18/u10447.png</t>
        </is>
      </c>
    </row>
    <row r="17" ht="30" customHeight="1">
      <c r="A17" s="72" t="inlineStr">
        <is>
          <t>…</t>
        </is>
      </c>
      <c r="B17" s="72" t="inlineStr">
        <is>
          <t>…</t>
        </is>
      </c>
      <c r="C17" s="72" t="inlineStr">
        <is>
          <t>…</t>
        </is>
      </c>
      <c r="D17" s="72" t="inlineStr">
        <is>
          <t>…</t>
        </is>
      </c>
      <c r="E17" s="75" t="inlineStr">
        <is>
          <t>총 16행 · 발행 시점 스냅샷</t>
        </is>
      </c>
    </row>
    <row r="18" ht="30" customHeight="1"/>
    <row r="19" ht="30" customHeight="1">
      <c r="A19" s="70" t="inlineStr">
        <is>
          <t>검사 이미지</t>
        </is>
      </c>
      <c r="B19" s="36" t="n"/>
      <c r="C19" s="36" t="n"/>
      <c r="D19" s="36" t="n"/>
      <c r="E19" s="30" t="n"/>
    </row>
    <row r="20" ht="44" customHeight="1">
      <c r="A20" s="76" t="inlineStr">
        <is>
          <t>샘플 이미지 미포함 · InspectionSamples/mock-fail.jpg · SHA-256 —</t>
        </is>
      </c>
      <c r="B20" s="36" t="n"/>
      <c r="C20" s="36" t="n"/>
      <c r="D20" s="36" t="n"/>
      <c r="E20" s="30" t="n"/>
    </row>
    <row r="21" ht="40" customHeight="1">
      <c r="A21" s="34" t="n"/>
      <c r="B21" s="77" t="n"/>
      <c r="C21" s="77" t="n"/>
      <c r="D21" s="77" t="n"/>
      <c r="E21" s="78" t="n"/>
    </row>
    <row r="22" ht="40" customHeight="1">
      <c r="A22" s="79" t="n"/>
      <c r="E22" s="80" t="n"/>
    </row>
    <row r="23" ht="40" customHeight="1">
      <c r="A23" s="79" t="n"/>
      <c r="E23" s="80" t="n"/>
    </row>
    <row r="24" ht="40" customHeight="1">
      <c r="A24" s="79" t="n"/>
      <c r="E24" s="80" t="n"/>
    </row>
    <row r="25" ht="40" customHeight="1">
      <c r="A25" s="79" t="n"/>
      <c r="E25" s="80" t="n"/>
    </row>
    <row r="26" ht="40" customHeight="1">
      <c r="A26" s="81" t="n"/>
      <c r="B26" s="82" t="n"/>
      <c r="C26" s="82" t="n"/>
      <c r="D26" s="82" t="n"/>
      <c r="E26" s="83" t="n"/>
    </row>
  </sheetData>
  <sheetProtection selectLockedCells="0" selectUnlockedCells="0" sheet="1" objects="0" insertRows="1" insertHyperlinks="1" autoFilter="0" scenarios="0" formatColumns="1" deleteColumns="1" insertColumns="1" pivotTables="1" deleteRows="1" formatCells="1" formatRows="1" sort="0"/>
  <mergeCells count="12">
    <mergeCell ref="D8:E8"/>
    <mergeCell ref="D6:E6"/>
    <mergeCell ref="D7:E7"/>
    <mergeCell ref="A20:E20"/>
    <mergeCell ref="A2:E2"/>
    <mergeCell ref="A10:E10"/>
    <mergeCell ref="D5:E5"/>
    <mergeCell ref="A19:E19"/>
    <mergeCell ref="A1:E1"/>
    <mergeCell ref="D4:E4"/>
    <mergeCell ref="A21:E26"/>
    <mergeCell ref="A3:E3"/>
  </mergeCells>
  <pageMargins left="0.32" right="0.32" top="0.45" bottom="0.45" header="0.5" footer="0.5"/>
  <pageSetup orientation="portrait" paperSize="9" fitToHeight="0" fitToWidth="1"/>
  <headerFooter>
    <oddHeader/>
    <oddFooter>&amp;L&amp;8 &amp;K627083v2 · 불량 근거&amp;R&amp;8 &amp;K627083&amp;P /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8296AD"/>
    <outlinePr summaryBelow="1" summaryRight="1"/>
    <pageSetUpPr fitToPage="0"/>
  </sheetPr>
  <dimension ref="A1:F21"/>
  <sheetViews>
    <sheetView showGridLines="0" zoomScale="90" workbookViewId="0">
      <pane xSplit="1" ySplit="3" topLeftCell="B4" activePane="bottomRight" state="frozen"/>
      <selection pane="topRight"/>
      <selection pane="bottomLeft"/>
      <selection pane="bottomRight" activeCell="A1" sqref="A1"/>
    </sheetView>
  </sheetViews>
  <sheetFormatPr baseColWidth="8" defaultRowHeight="15"/>
  <cols>
    <col width="25" customWidth="1" min="1" max="1"/>
    <col width="23" customWidth="1" min="2" max="2"/>
    <col width="17" customWidth="1" min="3" max="3"/>
    <col width="8" customWidth="1" min="4" max="4"/>
    <col width="13" customWidth="1" min="5" max="5"/>
    <col width="12" customWidth="1" min="6" max="6"/>
  </cols>
  <sheetData>
    <row r="1" ht="34" customHeight="1">
      <c r="A1" s="84" t="inlineStr">
        <is>
          <t>부품 검토자료</t>
        </is>
      </c>
    </row>
    <row r="2" ht="40" customHeight="1">
      <c r="A2" s="85" t="inlineStr">
        <is>
          <t>부품 범주 MLCC · 데이터시트 대조 일치 · 기준일 2026-08-18 · 조회 2026-08-19 09:00:00</t>
        </is>
      </c>
    </row>
    <row r="3" ht="22" customHeight="1">
      <c r="A3" s="53" t="inlineStr">
        <is>
          <t>현재 부품  |  데이터시트 대조</t>
        </is>
      </c>
      <c r="B3" s="54" t="n"/>
      <c r="C3" s="54" t="n"/>
      <c r="D3" s="54" t="n"/>
      <c r="E3" s="54" t="n"/>
      <c r="F3" s="54" t="n"/>
    </row>
    <row r="4" ht="28" customHeight="1">
      <c r="A4" s="49" t="inlineStr">
        <is>
          <t>현재 MPN</t>
        </is>
      </c>
      <c r="B4" s="49" t="inlineStr">
        <is>
          <t>핵심 정격</t>
        </is>
      </c>
      <c r="C4" s="49" t="inlineStr">
        <is>
          <t>공급사</t>
        </is>
      </c>
      <c r="D4" s="49" t="inlineStr">
        <is>
          <t>단가</t>
        </is>
      </c>
      <c r="E4" s="49" t="inlineStr">
        <is>
          <t>가격 기준 수량</t>
        </is>
      </c>
      <c r="F4" s="49" t="inlineStr">
        <is>
          <t>가격 확인일</t>
        </is>
      </c>
    </row>
    <row r="5" ht="52" customHeight="1">
      <c r="A5" s="50" t="inlineStr">
        <is>
          <t>Contoso CX-0603X7R104K100</t>
        </is>
      </c>
      <c r="B5" s="50" t="inlineStr">
        <is>
          <t>0.10µF ±10% 100V X7R 0603</t>
        </is>
      </c>
      <c r="C5" s="50" t="inlineStr">
        <is>
          <t>Northwind Traders</t>
        </is>
      </c>
      <c r="D5" s="50" t="inlineStr">
        <is>
          <t>$0.15</t>
        </is>
      </c>
      <c r="E5" s="50" t="inlineStr">
        <is>
          <t>1개 (Cut Tape)</t>
        </is>
      </c>
      <c r="F5" s="50" t="inlineStr">
        <is>
          <t>2026-08-14</t>
        </is>
      </c>
    </row>
    <row r="6" ht="8" customHeight="1">
      <c r="A6" s="52" t="n"/>
      <c r="B6" s="52" t="n"/>
      <c r="C6" s="52" t="n"/>
      <c r="D6" s="52" t="n"/>
      <c r="E6" s="52" t="n"/>
      <c r="F6" s="52" t="n"/>
    </row>
    <row r="7" ht="22" customHeight="1">
      <c r="A7" s="53" t="inlineStr">
        <is>
          <t>품질 체크리스트  |  검사 항목과 이상 시 조치</t>
        </is>
      </c>
      <c r="B7" s="54" t="n"/>
      <c r="C7" s="54" t="n"/>
      <c r="D7" s="54" t="n"/>
      <c r="E7" s="54" t="n"/>
      <c r="F7" s="54" t="n"/>
    </row>
    <row r="8" ht="28" customHeight="1">
      <c r="A8" s="49" t="inlineStr">
        <is>
          <t>구분</t>
        </is>
      </c>
      <c r="B8" s="49" t="inlineStr">
        <is>
          <t>확인 항목</t>
        </is>
      </c>
      <c r="C8" s="46" t="n"/>
      <c r="D8" s="46" t="n"/>
      <c r="E8" s="49" t="inlineStr">
        <is>
          <t>이상 시 조치</t>
        </is>
      </c>
      <c r="F8" s="46" t="n"/>
    </row>
    <row r="9" ht="48" customHeight="1">
      <c r="A9" s="49" t="inlineStr">
        <is>
          <t>입고 검사</t>
        </is>
      </c>
      <c r="B9" s="50" t="inlineStr">
        <is>
          <t>외관/단자, 0603·100V·X7R 확인, LCR·절연저항 샘플</t>
        </is>
      </c>
      <c r="E9" s="61" t="inlineStr">
        <is>
          <t>크랙/IR 저하는 Lot·패널 위치별 격리, 보드 굴곡·분리·프로브 지지 조건을 재현하고 공정 조건 수정</t>
        </is>
      </c>
      <c r="F9" s="59" t="n"/>
    </row>
    <row r="10" ht="48" customHeight="1">
      <c r="A10" s="49" t="inlineStr">
        <is>
          <t>조립·보관</t>
        </is>
      </c>
      <c r="B10" s="50" t="inlineStr">
        <is>
          <t>land/reflow 준수; panel depanel·ICT probe·connector 체결 시 board support로 보드 굽힘 억제</t>
        </is>
      </c>
      <c r="E10" s="59" t="n"/>
      <c r="F10" s="59" t="n"/>
    </row>
    <row r="11" ht="48" customHeight="1">
      <c r="A11" s="49" t="inlineStr">
        <is>
          <t>기능·신뢰성</t>
        </is>
      </c>
      <c r="B11" s="50" t="inlineStr">
        <is>
          <t>AOI, LCR/IR; crack 의심 Lot 단면 또는 비파괴 검사</t>
        </is>
      </c>
      <c r="E11" s="59" t="n"/>
      <c r="F11" s="59" t="n"/>
    </row>
    <row r="12" ht="28" customHeight="1">
      <c r="A12" s="47" t="inlineStr">
        <is>
          <t>부품 데이터시트 Checklist 시트에서 조회 · 원인 자동 추정 자료가 아님</t>
        </is>
      </c>
    </row>
    <row r="13" ht="8" customHeight="1">
      <c r="A13" s="52" t="n"/>
      <c r="B13" s="52" t="n"/>
      <c r="C13" s="52" t="n"/>
      <c r="D13" s="52" t="n"/>
      <c r="E13" s="52" t="n"/>
      <c r="F13" s="52" t="n"/>
    </row>
    <row r="14" ht="22" customHeight="1">
      <c r="A14" s="53" t="inlineStr">
        <is>
          <t>대체품 후보  |  적합성 검증·변경 승인 후 적용</t>
        </is>
      </c>
      <c r="B14" s="54" t="n"/>
      <c r="C14" s="54" t="n"/>
      <c r="D14" s="54" t="n"/>
      <c r="E14" s="54" t="n"/>
      <c r="F14" s="54" t="n"/>
    </row>
    <row r="15" ht="48" customHeight="1">
      <c r="A15" s="86" t="inlineStr">
        <is>
          <t>같은 부품 타입이라는 것 외에 검증된 것은 없다 · 동일 정격만으로 drop-in 판단 금지 · 핀/패키지/정격/열/수명 재검증과 변경 승인을 거친 뒤에만 적용한다.</t>
        </is>
      </c>
      <c r="B15" s="87" t="n"/>
      <c r="C15" s="87" t="n"/>
      <c r="D15" s="87" t="n"/>
      <c r="E15" s="87" t="n"/>
      <c r="F15" s="87" t="n"/>
    </row>
    <row r="16" ht="44" customHeight="1">
      <c r="A16" s="85" t="inlineStr">
        <is>
          <t>조회 시각 2026-08-19 09:00:00   ·   데이터시트 semiconductor_assembly_quality_datasheet_2026-08-18.xlsx (기준일 2026-08-18)   ·   부품 타입 MLCC   ·   후보 2종   ·   단가 $0.09 ~ $0.15   ·   현재 선정 $0.15</t>
        </is>
      </c>
    </row>
    <row r="17" ht="30" customHeight="1">
      <c r="A17" s="49" t="inlineStr">
        <is>
          <t>제조사 / P/N</t>
        </is>
      </c>
      <c r="B17" s="49" t="inlineStr">
        <is>
          <t>핵심 정격</t>
        </is>
      </c>
      <c r="C17" s="49" t="inlineStr">
        <is>
          <t>공급사</t>
        </is>
      </c>
      <c r="D17" s="49" t="inlineStr">
        <is>
          <t>단가</t>
        </is>
      </c>
      <c r="E17" s="49" t="inlineStr">
        <is>
          <t>가격 기준 수량</t>
        </is>
      </c>
      <c r="F17" s="49" t="inlineStr">
        <is>
          <t>가격 확인일</t>
        </is>
      </c>
    </row>
    <row r="18" ht="54" customHeight="1">
      <c r="A18" s="88" t="inlineStr">
        <is>
          <t>Litware LW-C0603-104K-100</t>
        </is>
      </c>
      <c r="B18" s="88" t="inlineStr">
        <is>
          <t>0.10µF ±10% 100V X7R 0603</t>
        </is>
      </c>
      <c r="C18" s="88" t="inlineStr">
        <is>
          <t>Northwind Traders</t>
        </is>
      </c>
      <c r="D18" s="88" t="inlineStr">
        <is>
          <t>$0.12</t>
        </is>
      </c>
      <c r="E18" s="88" t="inlineStr">
        <is>
          <t>1개 (Cut Tape)</t>
        </is>
      </c>
      <c r="F18" s="88" t="inlineStr">
        <is>
          <t>2026-08-14</t>
        </is>
      </c>
    </row>
    <row r="19" ht="54" customHeight="1">
      <c r="A19" s="50" t="inlineStr">
        <is>
          <t>Tailspin TS-0603-104M-100</t>
        </is>
      </c>
      <c r="B19" s="50" t="inlineStr">
        <is>
          <t>0.10µF ±20% 100V X7R 0603</t>
        </is>
      </c>
      <c r="C19" s="50" t="inlineStr">
        <is>
          <t>Wide World Importers</t>
        </is>
      </c>
      <c r="D19" s="50" t="inlineStr">
        <is>
          <t>$0.09</t>
        </is>
      </c>
      <c r="E19" s="50" t="inlineStr">
        <is>
          <t>1개 (Cut Tape)</t>
        </is>
      </c>
      <c r="F19" s="50" t="inlineStr">
        <is>
          <t>2026-08-15</t>
        </is>
      </c>
    </row>
    <row r="20" ht="42" customHeight="1">
      <c r="A20" s="85" t="inlineStr">
        <is>
          <t>단가는 데이터시트 기준일의 값이고 발주 근거가 아니다. MOQ·재고·리드타임과 상호호환 판정은 이 문서에 없다 → GET /parts/CAP 또는 구매·품질 담당</t>
        </is>
      </c>
    </row>
    <row r="21" ht="28" customHeight="1">
      <c r="A21" s="47" t="inlineStr">
        <is>
          <t>원본 semiconductor_assembly_quality_datasheet_2026-08-18.xlsx · DB parts: CAP / Contoso CX-0603X7R104K100 / MLCC · 데이터시트 MPN 대조: 일치</t>
        </is>
      </c>
    </row>
  </sheetData>
  <mergeCells count="16">
    <mergeCell ref="B10:D10"/>
    <mergeCell ref="A2:F2"/>
    <mergeCell ref="B11:D11"/>
    <mergeCell ref="A16:F16"/>
    <mergeCell ref="A14:F14"/>
    <mergeCell ref="B8:D8"/>
    <mergeCell ref="A1:F1"/>
    <mergeCell ref="A15:F15"/>
    <mergeCell ref="B9:D9"/>
    <mergeCell ref="E9:F11"/>
    <mergeCell ref="A12:F12"/>
    <mergeCell ref="A3:F3"/>
    <mergeCell ref="A21:F21"/>
    <mergeCell ref="A20:F20"/>
    <mergeCell ref="E8:F8"/>
    <mergeCell ref="A7:F7"/>
  </mergeCells>
  <printOptions horizontalCentered="1"/>
  <pageMargins left="0.32" right="0.32" top="0.35" bottom="0.38" header="0.15" footer="0.17"/>
  <pageSetup orientation="portrait" paperSize="9" scale="100"/>
  <headerFooter>
    <oddHeader/>
    <oddFooter>&amp;L&amp;8 &amp;K627083v2 · 검토용&amp;R&amp;8 &amp;K627083&amp;P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MAIN_SERVER/generate_defect_reports.py</dc:creator>
  <dc:title xmlns:dc="http://purl.org/dc/elements/1.1/">불량 대책서 v2</dc:title>
  <dc:description xmlns:dc="http://purl.org/dc/elements/1.1/">기존 양식의 검토용 v2. 원본 자동 발행 템플릿과 분리.</dc:description>
  <dc:subject xmlns:dc="http://purl.org/dc/elements/1.1/">3개 시트 통합 검토본</dc:subject>
  <dcterms:created xmlns:dcterms="http://purl.org/dc/terms/" xmlns:xsi="http://www.w3.org/2001/XMLSchema-instance" xsi:type="dcterms:W3CDTF">2026-08-19T09:00:00Z</dcterms:created>
  <dcterms:modified xmlns:dcterms="http://purl.org/dc/terms/" xmlns:xsi="http://www.w3.org/2001/XMLSchema-instance" xsi:type="dcterms:W3CDTF">2026-09-07T04:24:52Z</dcterms:modified>
</cp:coreProperties>
</file>