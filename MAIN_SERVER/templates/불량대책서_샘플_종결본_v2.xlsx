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책서" sheetId="1" state="visible" r:id="rId1"/>
    <sheet xmlns:r="http://schemas.openxmlformats.org/officeDocument/2006/relationships" name="불량 근거" sheetId="2" state="visible" r:id="rId2"/>
    <sheet xmlns:r="http://schemas.openxmlformats.org/officeDocument/2006/relationships" name="부품 검토자료" sheetId="3" state="visible" r:id="rId3"/>
  </sheets>
  <definedNames>
    <definedName name="reply_containment_scope">'대책서'!$C$18</definedName>
    <definedName name="reply_containment">'대책서'!$C$19</definedName>
    <definedName name="reply_root_cause_label">'대책서'!$C$20</definedName>
    <definedName name="reply_root_cause">'대책서'!$C$21</definedName>
    <definedName name="reply_escape_cause">'대책서'!$C$22</definedName>
    <definedName name="reply_prevention">'대책서'!$C$23</definedName>
    <definedName name="reply_verify_period">'대책서'!$C$25</definedName>
    <definedName name="reply_verify_recipe">'대책서'!$E$25</definedName>
    <definedName name="reply_verify_inspected">'대책서'!$G$25</definedName>
    <definedName name="reply_verify_defective">'대책서'!$I$25</definedName>
    <definedName name="reply_verify_status">'대책서'!$K$25</definedName>
    <definedName name="reply_verify_note">'대책서'!$C$27</definedName>
    <definedName name="reply_closed_at">'대책서'!$E$28</definedName>
    <definedName name="reply_closure_note">'대책서'!$C$29</definedName>
    <definedName name="_xlnm.Print_Area" localSheetId="0">'대책서'!$A$1:$L$30</definedName>
    <definedName name="_xlnm.Print_Area" localSheetId="1">'불량 근거'!$A$1:$E$23</definedName>
    <definedName name="_xlnm.Print_Area" localSheetId="2">'부품 검토자료'!$A$1:$F$21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66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  <font>
      <name val="맑은 고딕"/>
      <color rgb="00263445"/>
      <sz val="10.5"/>
    </font>
    <font>
      <name val="맑은 고딕"/>
      <b val="1"/>
      <color rgb="001F3864"/>
      <sz val="22"/>
    </font>
    <font>
      <name val="맑은 고딕"/>
      <b val="1"/>
      <color rgb="001F3864"/>
      <sz val="11"/>
    </font>
    <font>
      <name val="맑은 고딕"/>
      <color rgb="00627083"/>
      <sz val="9"/>
    </font>
    <font>
      <name val="맑은 고딕"/>
      <b val="1"/>
      <color rgb="00263445"/>
      <sz val="10"/>
    </font>
    <font>
      <name val="맑은 고딕"/>
      <b val="1"/>
      <color rgb="001F3864"/>
      <sz val="10"/>
    </font>
    <font>
      <name val="맑은 고딕"/>
      <color rgb="00263445"/>
      <sz val="10"/>
    </font>
    <font>
      <name val="맑은 고딕"/>
      <b val="1"/>
      <color rgb="00FFFFFF"/>
      <sz val="11"/>
    </font>
    <font>
      <name val="맑은 고딕"/>
      <b val="1"/>
      <color rgb="001F3864"/>
      <sz val="17"/>
    </font>
    <font>
      <name val="맑은 고딕"/>
      <color rgb="00263445"/>
      <sz val="9.5"/>
    </font>
    <font>
      <name val="맑은 고딕"/>
      <b val="1"/>
      <color rgb="00263445"/>
      <sz val="10.5"/>
    </font>
    <font>
      <name val="맑은 고딕"/>
      <color rgb="00627083"/>
      <sz val="8.5"/>
    </font>
    <font>
      <name val="맑은 고딕"/>
      <b val="1"/>
      <color rgb="001F3864"/>
      <sz val="10.5"/>
    </font>
    <font>
      <name val="맑은 고딕"/>
      <color rgb="00627083"/>
      <sz val="8"/>
    </font>
    <font>
      <name val="맑은 고딕"/>
      <b val="1"/>
      <color rgb="00FFFFFF"/>
      <sz val="10"/>
    </font>
    <font>
      <name val="맑은 고딕"/>
      <color rgb="00808080"/>
      <sz val="10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1F3864"/>
      <sz val="18"/>
    </font>
    <font>
      <name val="맑은 고딕"/>
      <b val="1"/>
      <color rgb="001F3864"/>
      <sz val="20"/>
    </font>
    <font>
      <name val="맑은 고딕"/>
      <color rgb="00627083"/>
      <sz val="9.5"/>
    </font>
    <font>
      <name val="맑은 고딕"/>
      <b val="1"/>
      <color rgb="0080601B"/>
      <sz val="10"/>
    </font>
    <font>
      <name val="맑은 고딕"/>
      <b val="1"/>
      <color rgb="00243D5B"/>
      <sz val="22"/>
    </font>
    <font>
      <name val="맑은 고딕"/>
      <color rgb="00262626"/>
      <sz val="9.5"/>
    </font>
    <font>
      <name val="맑은 고딕"/>
      <b val="1"/>
      <color rgb="00243D5B"/>
      <sz val="9"/>
    </font>
    <font>
      <name val="맑은 고딕"/>
      <b val="1"/>
      <color rgb="00262626"/>
      <sz val="13"/>
    </font>
    <font>
      <name val="맑은 고딕"/>
      <b val="1"/>
      <color rgb="00243D5B"/>
      <sz val="10"/>
    </font>
    <font>
      <name val="맑은 고딕"/>
      <color rgb="00262626"/>
      <sz val="8.5"/>
    </font>
    <font>
      <name val="맑은 고딕"/>
      <b val="1"/>
      <color rgb="00262626"/>
      <sz val="9.5"/>
    </font>
    <font>
      <name val="맑은 고딕"/>
      <color rgb="0069727D"/>
      <sz val="8.5"/>
    </font>
    <font>
      <name val="맑은 고딕"/>
      <color rgb="0069727D"/>
      <sz val="8"/>
    </font>
    <font>
      <name val="맑은 고딕"/>
      <color rgb="00516276"/>
      <sz val="8"/>
    </font>
    <font>
      <name val="맑은 고딕"/>
      <color rgb="0069727D"/>
      <sz val="7.5"/>
    </font>
    <font>
      <name val="맑은 고딕"/>
      <b val="1"/>
      <color rgb="00243D5B"/>
      <sz val="17"/>
    </font>
    <font>
      <name val="맑은 고딕"/>
      <b val="1"/>
      <color rgb="00243D5B"/>
      <sz val="14"/>
    </font>
    <font>
      <name val="맑은 고딕"/>
      <b val="1"/>
      <color rgb="00233D59"/>
      <sz val="23"/>
    </font>
    <font>
      <name val="맑은 고딕"/>
      <b val="1"/>
      <color rgb="00263442"/>
      <sz val="9"/>
    </font>
    <font>
      <name val="맑은 고딕"/>
      <color rgb="00263442"/>
      <sz val="8.5"/>
    </font>
    <font>
      <name val="맑은 고딕"/>
      <color rgb="00263442"/>
      <sz val="10"/>
    </font>
    <font>
      <name val="맑은 고딕"/>
      <color rgb="00263442"/>
      <sz val="9"/>
    </font>
    <font>
      <name val="맑은 고딕"/>
      <b val="1"/>
      <color rgb="00263442"/>
      <sz val="10"/>
    </font>
    <font>
      <name val="맑은 고딕"/>
      <color rgb="00657385"/>
      <sz val="8"/>
    </font>
    <font>
      <name val="맑은 고딕"/>
      <color rgb="00263442"/>
      <sz val="18"/>
    </font>
    <font>
      <name val="맑은 고딕"/>
      <color rgb="00263442"/>
      <sz val="8"/>
    </font>
    <font>
      <name val="맑은 고딕"/>
      <b val="1"/>
      <color rgb="00233D59"/>
      <sz val="17"/>
    </font>
    <font>
      <name val="맑은 고딕"/>
      <color rgb="00263442"/>
      <sz val="11"/>
    </font>
    <font>
      <name val="맑은 고딕"/>
      <b val="1"/>
      <color rgb="00233D59"/>
      <sz val="11"/>
    </font>
  </fonts>
  <fills count="2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  <fill>
      <patternFill patternType="solid">
        <fgColor rgb="00EDF2F8"/>
      </patternFill>
    </fill>
    <fill>
      <patternFill patternType="solid">
        <fgColor rgb="00FFF4D7"/>
      </patternFill>
    </fill>
    <fill>
      <patternFill patternType="solid">
        <fgColor rgb="00F5F7FA"/>
      </patternFill>
    </fill>
    <fill>
      <patternFill patternType="solid">
        <fgColor rgb="00F2F3F5"/>
      </patternFill>
    </fill>
    <fill>
      <patternFill patternType="solid">
        <fgColor rgb="00EDF3F9"/>
      </patternFill>
    </fill>
    <fill>
      <patternFill patternType="solid">
        <fgColor rgb="00FFF8E8"/>
      </patternFill>
    </fill>
    <fill>
      <patternFill patternType="solid">
        <fgColor rgb="00F0F2F4"/>
      </patternFill>
    </fill>
    <fill>
      <patternFill patternType="solid">
        <fgColor rgb="00EEF5F0"/>
      </patternFill>
    </fill>
  </fills>
  <borders count="4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/>
      <right style="thin">
        <color rgb="00A6A6A6"/>
      </right>
      <top/>
      <bottom/>
      <diagonal/>
    </border>
    <border>
      <left style="thin">
        <color rgb="00A6A6A6"/>
      </left>
      <right/>
      <top/>
      <bottom style="thin">
        <color rgb="00A6A6A6"/>
      </bottom>
      <diagonal/>
    </border>
    <border>
      <left/>
      <right/>
      <top/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  <border>
      <left style="thin">
        <color rgb="00BCC3CC"/>
      </left>
      <right/>
      <top style="thin">
        <color rgb="00BCC3CC"/>
      </top>
      <bottom style="thin">
        <color rgb="00BCC3CC"/>
      </bottom>
    </border>
    <border>
      <left/>
      <right style="thin">
        <color rgb="00BCC3CC"/>
      </right>
      <top style="thin">
        <color rgb="00BCC3CC"/>
      </top>
      <bottom style="thin">
        <color rgb="00BCC3CC"/>
      </bottom>
    </border>
    <border>
      <left style="thin">
        <color rgb="00BCC3CC"/>
      </left>
      <right/>
      <top style="thin">
        <color rgb="00BCC3CC"/>
      </top>
      <bottom/>
    </border>
    <border>
      <left/>
      <right style="thin">
        <color rgb="00BCC3CC"/>
      </right>
      <top style="thin">
        <color rgb="00BCC3CC"/>
      </top>
      <bottom/>
    </border>
    <border>
      <left style="thin">
        <color rgb="00BCC3CC"/>
      </left>
      <right/>
      <top/>
      <bottom style="thin">
        <color rgb="00BCC3CC"/>
      </bottom>
    </border>
    <border>
      <left/>
      <right style="thin">
        <color rgb="00BCC3CC"/>
      </right>
      <top/>
      <bottom style="thin">
        <color rgb="00BCC3CC"/>
      </bottom>
    </border>
    <border>
      <left/>
      <right/>
      <top style="thin">
        <color rgb="00BCC3CC"/>
      </top>
      <bottom style="thin">
        <color rgb="00BCC3CC"/>
      </bottom>
    </border>
    <border>
      <left style="thin">
        <color rgb="00BCC3CC"/>
      </left>
      <right/>
      <top/>
      <bottom/>
    </border>
    <border>
      <left/>
      <right style="thin">
        <color rgb="00BCC3CC"/>
      </right>
      <top/>
      <bottom/>
    </border>
    <border>
      <left style="thin">
        <color rgb="00BCC3CC"/>
      </left>
      <right style="thin">
        <color rgb="00BCC3CC"/>
      </right>
      <top style="thin">
        <color rgb="00BCC3CC"/>
      </top>
      <bottom style="thin">
        <color rgb="00BCC3CC"/>
      </bottom>
    </border>
    <border>
      <left/>
      <right/>
      <top style="thin">
        <color rgb="00BCC3CC"/>
      </top>
      <bottom/>
      <diagonal/>
    </border>
    <border>
      <left/>
      <right style="thin">
        <color rgb="00BCC3CC"/>
      </right>
      <top style="thin">
        <color rgb="00BCC3CC"/>
      </top>
      <bottom/>
      <diagonal/>
    </border>
    <border>
      <left/>
      <right/>
      <top style="thin">
        <color rgb="00BCC3CC"/>
      </top>
      <bottom style="thin">
        <color rgb="00BCC3CC"/>
      </bottom>
      <diagonal/>
    </border>
    <border>
      <left/>
      <right style="thin">
        <color rgb="00BCC3CC"/>
      </right>
      <top style="thin">
        <color rgb="00BCC3CC"/>
      </top>
      <bottom style="thin">
        <color rgb="00BCC3CC"/>
      </bottom>
      <diagonal/>
    </border>
    <border>
      <left style="thin">
        <color rgb="00BCC3CC"/>
      </left>
      <right/>
      <top/>
      <bottom/>
      <diagonal/>
    </border>
    <border>
      <left/>
      <right style="thin">
        <color rgb="00BCC3CC"/>
      </right>
      <top/>
      <bottom/>
      <diagonal/>
    </border>
    <border>
      <left style="thin">
        <color rgb="00BCC3CC"/>
      </left>
      <right/>
      <top/>
      <bottom style="thin">
        <color rgb="00BCC3CC"/>
      </bottom>
      <diagonal/>
    </border>
    <border>
      <left/>
      <right style="thin">
        <color rgb="00BCC3CC"/>
      </right>
      <top/>
      <bottom style="thin">
        <color rgb="00BCC3CC"/>
      </bottom>
      <diagonal/>
    </border>
    <border>
      <left style="thin">
        <color rgb="00BCC6D1"/>
      </left>
      <right style="thin">
        <color rgb="00BCC6D1"/>
      </right>
      <top style="thin">
        <color rgb="00BCC6D1"/>
      </top>
      <bottom style="thin">
        <color rgb="00BCC6D1"/>
      </bottom>
    </border>
    <border>
      <left/>
      <right/>
      <top style="thin">
        <color rgb="00BCC6D1"/>
      </top>
      <bottom/>
      <diagonal/>
    </border>
    <border>
      <left/>
      <right style="thin">
        <color rgb="00BCC6D1"/>
      </right>
      <top style="thin">
        <color rgb="00BCC6D1"/>
      </top>
      <bottom/>
      <diagonal/>
    </border>
    <border>
      <left/>
      <right/>
      <top style="thin">
        <color rgb="00BCC6D1"/>
      </top>
      <bottom style="thin">
        <color rgb="00BCC6D1"/>
      </bottom>
      <diagonal/>
    </border>
    <border>
      <left/>
      <right style="thin">
        <color rgb="00BCC6D1"/>
      </right>
      <top style="thin">
        <color rgb="00BCC6D1"/>
      </top>
      <bottom style="thin">
        <color rgb="00BCC6D1"/>
      </bottom>
      <diagonal/>
    </border>
    <border>
      <left style="thin">
        <color rgb="00BCC6D1"/>
      </left>
      <right/>
      <top/>
      <bottom/>
      <diagonal/>
    </border>
    <border>
      <left/>
      <right style="thin">
        <color rgb="00BCC6D1"/>
      </right>
      <top/>
      <bottom/>
      <diagonal/>
    </border>
    <border>
      <left style="thin">
        <color rgb="00BCC6D1"/>
      </left>
      <right/>
      <top/>
      <bottom style="thin">
        <color rgb="00BCC6D1"/>
      </bottom>
      <diagonal/>
    </border>
    <border>
      <left/>
      <right/>
      <top/>
      <bottom style="thin">
        <color rgb="00BCC6D1"/>
      </bottom>
      <diagonal/>
    </border>
    <border>
      <left/>
      <right style="thin">
        <color rgb="00BCC6D1"/>
      </right>
      <top/>
      <bottom style="thin">
        <color rgb="00BCC6D1"/>
      </bottom>
      <diagonal/>
    </border>
  </borders>
  <cellStyleXfs count="1">
    <xf numFmtId="0" fontId="0" fillId="0" borderId="0"/>
  </cellStyleXfs>
  <cellXfs count="2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0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4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6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8" fillId="5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right" vertical="top" wrapText="1" indent="1"/>
    </xf>
    <xf numFmtId="0" fontId="14" fillId="0" borderId="0" applyAlignment="1" pivotButton="0" quotePrefix="0" xfId="0">
      <alignment horizontal="left" vertical="center" wrapText="1" indent="1"/>
    </xf>
    <xf numFmtId="0" fontId="20" fillId="0" borderId="0" applyAlignment="1" pivotButton="0" quotePrefix="0" xfId="0">
      <alignment horizontal="left" vertical="center" wrapText="1" indent="1"/>
    </xf>
    <xf numFmtId="0" fontId="2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horizontal="right" vertical="center" wrapText="1"/>
    </xf>
    <xf numFmtId="0" fontId="24" fillId="12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vertical="center" wrapText="1"/>
    </xf>
    <xf numFmtId="0" fontId="26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3" fontId="27" fillId="1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left" vertical="center" wrapText="1" indent="1"/>
    </xf>
    <xf numFmtId="0" fontId="19" fillId="12" borderId="0" applyAlignment="1" pivotButton="0" quotePrefix="0" xfId="0">
      <alignment horizontal="left" vertical="center" wrapText="1" indent="1"/>
    </xf>
    <xf numFmtId="0" fontId="29" fillId="8" borderId="0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25" fillId="8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left" vertical="top" wrapText="1" indent="1"/>
    </xf>
    <xf numFmtId="0" fontId="19" fillId="8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center" vertical="center" wrapText="1"/>
    </xf>
    <xf numFmtId="3" fontId="19" fillId="8" borderId="0" applyAlignment="1" pivotButton="0" quotePrefix="0" xfId="0">
      <alignment horizontal="center" vertical="center" wrapText="1"/>
    </xf>
    <xf numFmtId="165" fontId="31" fillId="12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wrapText="1" indent="1"/>
    </xf>
    <xf numFmtId="0" fontId="37" fillId="10" borderId="0" applyAlignment="1" pivotButton="0" quotePrefix="0" xfId="0">
      <alignment horizontal="left" vertical="center" wrapText="1" indent="1"/>
    </xf>
    <xf numFmtId="0" fontId="34" fillId="0" borderId="2" applyAlignment="1" pivotButton="0" quotePrefix="0" xfId="0">
      <alignment horizontal="left" vertical="center" wrapText="1" indent="1"/>
    </xf>
    <xf numFmtId="0" fontId="35" fillId="9" borderId="1" applyAlignment="1" pivotButton="0" quotePrefix="0" xfId="0">
      <alignment horizontal="left" vertical="center" wrapText="1" indent="1"/>
    </xf>
    <xf numFmtId="0" fontId="35" fillId="9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3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 indent="1"/>
    </xf>
    <xf numFmtId="0" fontId="34" fillId="0" borderId="1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8" fillId="0" borderId="0" applyAlignment="1" pivotButton="0" quotePrefix="0" xfId="0">
      <alignment horizontal="left" vertical="center" wrapText="1" indent="1"/>
    </xf>
    <xf numFmtId="0" fontId="39" fillId="0" borderId="0" applyAlignment="1" pivotButton="0" quotePrefix="0" xfId="0">
      <alignment horizontal="left" vertical="center" wrapText="1" indent="1"/>
    </xf>
    <xf numFmtId="0" fontId="40" fillId="13" borderId="0" applyAlignment="1" pivotButton="0" quotePrefix="0" xfId="0">
      <alignment horizontal="left" vertical="center" wrapText="1" indent="1"/>
    </xf>
    <xf numFmtId="0" fontId="0" fillId="13" borderId="0" pivotButton="0" quotePrefix="0" xfId="0"/>
    <xf numFmtId="0" fontId="19" fillId="14" borderId="0" applyAlignment="1" pivotButton="0" quotePrefix="0" xfId="0">
      <alignment horizontal="left" vertical="center" wrapText="1" indent="1"/>
    </xf>
    <xf numFmtId="0" fontId="41" fillId="10" borderId="2" applyAlignment="1" pivotButton="0" quotePrefix="0" xfId="0">
      <alignment horizontal="left" vertical="center" wrapText="1" indent="1"/>
    </xf>
    <xf numFmtId="0" fontId="0" fillId="10" borderId="2" pivotButton="0" quotePrefix="0" xfId="0"/>
    <xf numFmtId="0" fontId="3" fillId="15" borderId="14" applyAlignment="1" pivotButton="0" quotePrefix="0" xfId="0">
      <alignment horizontal="center" vertical="center" wrapText="1"/>
    </xf>
    <xf numFmtId="0" fontId="0" fillId="15" borderId="15" pivotButton="0" quotePrefix="0" xfId="0"/>
    <xf numFmtId="0" fontId="42" fillId="10" borderId="16" applyAlignment="1" pivotButton="0" quotePrefix="0" xfId="0">
      <alignment horizontal="center" vertical="center" wrapText="1"/>
    </xf>
    <xf numFmtId="0" fontId="0" fillId="10" borderId="17" pivotButton="0" quotePrefix="0" xfId="0"/>
    <xf numFmtId="0" fontId="0" fillId="10" borderId="18" pivotButton="0" quotePrefix="0" xfId="0"/>
    <xf numFmtId="0" fontId="0" fillId="10" borderId="19" pivotButton="0" quotePrefix="0" xfId="0"/>
    <xf numFmtId="0" fontId="42" fillId="10" borderId="14" applyAlignment="1" pivotButton="0" quotePrefix="0" xfId="0">
      <alignment horizontal="left" vertical="center" wrapText="1" indent="1"/>
    </xf>
    <xf numFmtId="0" fontId="0" fillId="10" borderId="20" pivotButton="0" quotePrefix="0" xfId="0"/>
    <xf numFmtId="0" fontId="0" fillId="10" borderId="15" pivotButton="0" quotePrefix="0" xfId="0"/>
    <xf numFmtId="0" fontId="4" fillId="10" borderId="14" applyAlignment="1" pivotButton="0" quotePrefix="0" xfId="0">
      <alignment horizontal="left" vertical="center" wrapText="1" indent="1"/>
    </xf>
    <xf numFmtId="0" fontId="43" fillId="15" borderId="14" applyAlignment="1" pivotButton="0" quotePrefix="0" xfId="0">
      <alignment horizontal="left" vertical="center" wrapText="1" indent="1"/>
    </xf>
    <xf numFmtId="0" fontId="0" fillId="15" borderId="20" pivotButton="0" quotePrefix="0" xfId="0"/>
    <xf numFmtId="3" fontId="44" fillId="10" borderId="14" applyAlignment="1" pivotButton="0" quotePrefix="0" xfId="0">
      <alignment horizontal="center" vertical="center" wrapText="1"/>
    </xf>
    <xf numFmtId="0" fontId="45" fillId="15" borderId="14" applyAlignment="1" pivotButton="0" quotePrefix="0" xfId="0">
      <alignment horizontal="left" vertical="center" wrapText="1" indent="1"/>
    </xf>
    <xf numFmtId="0" fontId="3" fillId="15" borderId="16" applyAlignment="1" pivotButton="0" quotePrefix="0" xfId="0">
      <alignment horizontal="center" vertical="center" wrapText="1"/>
    </xf>
    <xf numFmtId="0" fontId="0" fillId="15" borderId="17" pivotButton="0" quotePrefix="0" xfId="0"/>
    <xf numFmtId="0" fontId="46" fillId="10" borderId="14" applyAlignment="1" pivotButton="0" quotePrefix="0" xfId="0">
      <alignment horizontal="left" vertical="center" wrapText="1" indent="1"/>
    </xf>
    <xf numFmtId="0" fontId="0" fillId="15" borderId="18" pivotButton="0" quotePrefix="0" xfId="0"/>
    <xf numFmtId="0" fontId="0" fillId="15" borderId="19" pivotButton="0" quotePrefix="0" xfId="0"/>
    <xf numFmtId="0" fontId="3" fillId="10" borderId="14" applyAlignment="1" pivotButton="0" quotePrefix="0" xfId="0">
      <alignment horizontal="left" vertical="center" wrapText="1" indent="1"/>
    </xf>
    <xf numFmtId="0" fontId="0" fillId="15" borderId="21" pivotButton="0" quotePrefix="0" xfId="0"/>
    <xf numFmtId="0" fontId="0" fillId="15" borderId="22" pivotButton="0" quotePrefix="0" xfId="0"/>
    <xf numFmtId="0" fontId="4" fillId="10" borderId="14" applyAlignment="1" pivotButton="0" quotePrefix="0" xfId="0">
      <alignment horizontal="center" vertical="center" wrapText="1"/>
    </xf>
    <xf numFmtId="3" fontId="4" fillId="10" borderId="14" applyAlignment="1" pivotButton="0" quotePrefix="0" xfId="0">
      <alignment horizontal="center" vertical="center" wrapText="1"/>
    </xf>
    <xf numFmtId="165" fontId="47" fillId="10" borderId="14" applyAlignment="1" pivotButton="0" quotePrefix="0" xfId="0">
      <alignment horizontal="center" vertical="center" wrapText="1"/>
    </xf>
    <xf numFmtId="0" fontId="48" fillId="10" borderId="14" applyAlignment="1" pivotButton="0" quotePrefix="0" xfId="0">
      <alignment horizontal="left" vertical="center" wrapText="1" indent="1"/>
    </xf>
    <xf numFmtId="0" fontId="49" fillId="10" borderId="2" applyAlignment="1" pivotButton="0" quotePrefix="0" xfId="0">
      <alignment horizontal="left" vertical="center" wrapText="1" indent="1"/>
    </xf>
    <xf numFmtId="0" fontId="3" fillId="15" borderId="23" applyAlignment="1" pivotButton="0" quotePrefix="0" xfId="0">
      <alignment horizontal="center" vertical="center" wrapText="1"/>
    </xf>
    <xf numFmtId="0" fontId="0" fillId="0" borderId="27" pivotButton="0" quotePrefix="0" xfId="0"/>
    <xf numFmtId="0" fontId="42" fillId="8" borderId="23" applyAlignment="1" applyProtection="1" pivotButton="0" quotePrefix="0" xfId="0">
      <alignment horizontal="center" vertical="center" wrapText="1"/>
      <protection locked="0" hidden="0"/>
    </xf>
    <xf numFmtId="0" fontId="0" fillId="8" borderId="25" applyProtection="1" pivotButton="0" quotePrefix="0" xfId="0">
      <protection locked="0" hidden="0"/>
    </xf>
    <xf numFmtId="0" fontId="0" fillId="8" borderId="30" applyProtection="1" pivotButton="0" quotePrefix="0" xfId="0">
      <protection locked="0" hidden="0"/>
    </xf>
    <xf numFmtId="0" fontId="0" fillId="8" borderId="31" applyProtection="1" pivotButton="0" quotePrefix="0" xfId="0">
      <protection locked="0" hidden="0"/>
    </xf>
    <xf numFmtId="0" fontId="50" fillId="0" borderId="0" applyAlignment="1" pivotButton="0" quotePrefix="0" xfId="0">
      <alignment vertical="center"/>
    </xf>
    <xf numFmtId="0" fontId="42" fillId="10" borderId="23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4" fillId="10" borderId="23" applyAlignment="1" pivotButton="0" quotePrefix="0" xfId="0">
      <alignment horizontal="left" vertical="center" wrapText="1" indent="1"/>
    </xf>
    <xf numFmtId="0" fontId="42" fillId="8" borderId="23" applyAlignment="1" applyProtection="1" pivotButton="0" quotePrefix="0" xfId="0">
      <alignment horizontal="left" vertical="center" wrapText="1" indent="1"/>
      <protection locked="0" hidden="0"/>
    </xf>
    <xf numFmtId="0" fontId="0" fillId="8" borderId="26" applyProtection="1" pivotButton="0" quotePrefix="0" xfId="0">
      <protection locked="0" hidden="0"/>
    </xf>
    <xf numFmtId="0" fontId="0" fillId="8" borderId="27" applyProtection="1" pivotButton="0" quotePrefix="0" xfId="0">
      <protection locked="0" hidden="0"/>
    </xf>
    <xf numFmtId="0" fontId="4" fillId="8" borderId="23" applyAlignment="1" applyProtection="1" pivotButton="0" quotePrefix="0" xfId="0">
      <alignment horizontal="left" vertical="center" wrapText="1" indent="1"/>
      <protection locked="0" hidden="0"/>
    </xf>
    <xf numFmtId="0" fontId="43" fillId="8" borderId="23" applyAlignment="1" applyProtection="1" pivotButton="0" quotePrefix="0" xfId="0">
      <alignment horizontal="left" vertical="center" wrapText="1" indent="1"/>
      <protection locked="0" hidden="0"/>
    </xf>
    <xf numFmtId="3" fontId="44" fillId="10" borderId="23" applyAlignment="1" pivotButton="0" quotePrefix="0" xfId="0">
      <alignment horizontal="center" vertical="center" wrapText="1"/>
    </xf>
    <xf numFmtId="3" fontId="44" fillId="7" borderId="23" applyAlignment="1" pivotButton="0" quotePrefix="0" xfId="0">
      <alignment horizontal="center" vertical="center" wrapText="1"/>
    </xf>
    <xf numFmtId="0" fontId="0" fillId="7" borderId="26" pivotButton="0" quotePrefix="0" xfId="0"/>
    <xf numFmtId="0" fontId="0" fillId="7" borderId="27" pivotButton="0" quotePrefix="0" xfId="0"/>
    <xf numFmtId="0" fontId="45" fillId="15" borderId="2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46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30" pivotButton="0" quotePrefix="0" xfId="0"/>
    <xf numFmtId="0" fontId="0" fillId="0" borderId="31" pivotButton="0" quotePrefix="0" xfId="0"/>
    <xf numFmtId="0" fontId="3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28" pivotButton="0" quotePrefix="0" xfId="0"/>
    <xf numFmtId="0" fontId="0" fillId="0" borderId="29" pivotButton="0" quotePrefix="0" xfId="0"/>
    <xf numFmtId="0" fontId="4" fillId="8" borderId="23" applyAlignment="1" applyProtection="1" pivotButton="0" quotePrefix="0" xfId="0">
      <alignment horizontal="center" vertical="center" wrapText="1"/>
      <protection locked="0" hidden="0"/>
    </xf>
    <xf numFmtId="3" fontId="4" fillId="8" borderId="23" applyAlignment="1" applyProtection="1" pivotButton="0" quotePrefix="0" xfId="0">
      <alignment horizontal="center" vertical="center" wrapText="1"/>
      <protection locked="0" hidden="0"/>
    </xf>
    <xf numFmtId="165" fontId="47" fillId="7" borderId="23" applyAlignment="1" pivotButton="0" quotePrefix="0" xfId="0">
      <alignment horizontal="center" vertical="center" wrapText="1"/>
    </xf>
    <xf numFmtId="0" fontId="46" fillId="10" borderId="23" applyAlignment="1" pivotButton="0" quotePrefix="0" xfId="0">
      <alignment horizontal="left" vertical="center" wrapText="1" indent="1"/>
    </xf>
    <xf numFmtId="0" fontId="48" fillId="10" borderId="23" applyAlignment="1" pivotButton="0" quotePrefix="0" xfId="0">
      <alignment horizontal="left" vertical="center" wrapText="1" indent="1"/>
    </xf>
    <xf numFmtId="0" fontId="51" fillId="10" borderId="2" applyAlignment="1" pivotButton="0" quotePrefix="0" xfId="0">
      <alignment horizontal="left" vertical="center" wrapText="1" indent="1"/>
    </xf>
    <xf numFmtId="0" fontId="53" fillId="10" borderId="0" applyAlignment="1" pivotButton="0" quotePrefix="0" xfId="0">
      <alignment horizontal="left" vertical="center" wrapText="1" indent="1"/>
    </xf>
    <xf numFmtId="0" fontId="52" fillId="0" borderId="0" applyAlignment="1" pivotButton="0" quotePrefix="0" xfId="0">
      <alignment horizontal="left" vertical="center" wrapText="1" indent="1"/>
    </xf>
    <xf numFmtId="0" fontId="43" fillId="12" borderId="0" applyAlignment="1" pivotButton="0" quotePrefix="0" xfId="0">
      <alignment horizontal="left" vertical="center" wrapText="1" indent="1"/>
    </xf>
    <xf numFmtId="0" fontId="42" fillId="10" borderId="0" applyAlignment="1" pivotButton="0" quotePrefix="0" xfId="0">
      <alignment horizontal="left" vertical="center" wrapText="1" indent="1"/>
    </xf>
    <xf numFmtId="0" fontId="48" fillId="0" borderId="0" applyAlignment="1" pivotButton="0" quotePrefix="0" xfId="0">
      <alignment horizontal="left" vertical="center" wrapText="1" indent="1"/>
    </xf>
    <xf numFmtId="0" fontId="54" fillId="10" borderId="2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5" fillId="16" borderId="0" applyAlignment="1" pivotButton="0" quotePrefix="0" xfId="0">
      <alignment horizontal="left" vertical="center" wrapText="1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56" fillId="10" borderId="23" applyAlignment="1" pivotButton="0" quotePrefix="0" xfId="0">
      <alignment vertical="center" wrapText="1"/>
    </xf>
    <xf numFmtId="0" fontId="55" fillId="17" borderId="23" applyAlignment="1" applyProtection="1" pivotButton="0" quotePrefix="0" xfId="0">
      <alignment horizontal="left" vertical="center" wrapText="1"/>
      <protection locked="0" hidden="0"/>
    </xf>
    <xf numFmtId="0" fontId="55" fillId="17" borderId="26" applyAlignment="1" applyProtection="1" pivotButton="0" quotePrefix="0" xfId="0">
      <alignment horizontal="left" vertical="center" wrapText="1"/>
      <protection locked="0" hidden="0"/>
    </xf>
    <xf numFmtId="0" fontId="55" fillId="17" borderId="27" applyAlignment="1" applyProtection="1" pivotButton="0" quotePrefix="0" xfId="0">
      <alignment horizontal="left" vertical="center" wrapText="1"/>
      <protection locked="0" hidden="0"/>
    </xf>
    <xf numFmtId="0" fontId="55" fillId="18" borderId="32" applyAlignment="1" pivotButton="0" quotePrefix="0" xfId="0">
      <alignment horizontal="left" vertical="center" wrapText="1"/>
    </xf>
    <xf numFmtId="3" fontId="57" fillId="17" borderId="32" applyAlignment="1" applyProtection="1" pivotButton="0" quotePrefix="0" xfId="0">
      <alignment horizontal="left" vertical="center" wrapText="1"/>
      <protection locked="0" hidden="0"/>
    </xf>
    <xf numFmtId="0" fontId="57" fillId="17" borderId="32" applyAlignment="1" applyProtection="1" pivotButton="0" quotePrefix="0" xfId="0">
      <alignment horizontal="left" vertical="center" wrapText="1"/>
      <protection locked="0" hidden="0"/>
    </xf>
    <xf numFmtId="0" fontId="58" fillId="16" borderId="32" applyAlignment="1" pivotButton="0" quotePrefix="0" xfId="0">
      <alignment horizontal="left" vertical="center" wrapText="1"/>
    </xf>
    <xf numFmtId="0" fontId="59" fillId="16" borderId="23" applyAlignment="1" pivotButton="0" quotePrefix="0" xfId="0">
      <alignment horizontal="left" vertical="center" wrapText="1"/>
    </xf>
    <xf numFmtId="0" fontId="59" fillId="16" borderId="26" applyAlignment="1" pivotButton="0" quotePrefix="0" xfId="0">
      <alignment horizontal="left" vertical="center" wrapText="1"/>
    </xf>
    <xf numFmtId="0" fontId="59" fillId="16" borderId="27" applyAlignment="1" pivotButton="0" quotePrefix="0" xfId="0">
      <alignment horizontal="left" vertical="center" wrapText="1"/>
    </xf>
    <xf numFmtId="0" fontId="57" fillId="19" borderId="23" applyAlignment="1" applyProtection="1" pivotButton="0" quotePrefix="0" xfId="0">
      <alignment horizontal="left" vertical="center" wrapText="1"/>
      <protection locked="0" hidden="0"/>
    </xf>
    <xf numFmtId="0" fontId="57" fillId="19" borderId="26" applyAlignment="1" applyProtection="1" pivotButton="0" quotePrefix="0" xfId="0">
      <alignment horizontal="left" vertical="center" wrapText="1"/>
      <protection locked="0" hidden="0"/>
    </xf>
    <xf numFmtId="0" fontId="57" fillId="19" borderId="27" applyAlignment="1" applyProtection="1" pivotButton="0" quotePrefix="0" xfId="0">
      <alignment horizontal="left" vertical="center" wrapText="1"/>
      <protection locked="0" hidden="0"/>
    </xf>
    <xf numFmtId="0" fontId="57" fillId="16" borderId="23" applyAlignment="1" pivotButton="0" quotePrefix="0" xfId="0">
      <alignment horizontal="left" vertical="center" wrapText="1"/>
    </xf>
    <xf numFmtId="0" fontId="57" fillId="16" borderId="26" applyAlignment="1" pivotButton="0" quotePrefix="0" xfId="0">
      <alignment horizontal="left" vertical="center" wrapText="1"/>
    </xf>
    <xf numFmtId="0" fontId="57" fillId="16" borderId="27" applyAlignment="1" pivotButton="0" quotePrefix="0" xfId="0">
      <alignment horizontal="left" vertical="center" wrapText="1"/>
    </xf>
    <xf numFmtId="0" fontId="60" fillId="10" borderId="2" applyAlignment="1" pivotButton="0" quotePrefix="0" xfId="0">
      <alignment horizontal="left" vertical="center" wrapText="1" indent="1"/>
    </xf>
    <xf numFmtId="0" fontId="61" fillId="10" borderId="32" applyAlignment="1" pivotButton="0" quotePrefix="0" xfId="0">
      <alignment horizontal="left" vertical="center" wrapText="1"/>
    </xf>
    <xf numFmtId="0" fontId="58" fillId="10" borderId="32" applyAlignment="1" pivotButton="0" quotePrefix="0" xfId="0">
      <alignment horizontal="left" vertical="center" wrapText="1"/>
    </xf>
    <xf numFmtId="0" fontId="59" fillId="16" borderId="32" applyAlignment="1" pivotButton="0" quotePrefix="0" xfId="0">
      <alignment horizontal="left" vertical="center" wrapText="1"/>
    </xf>
    <xf numFmtId="0" fontId="57" fillId="10" borderId="32" applyAlignment="1" pivotButton="0" quotePrefix="0" xfId="0">
      <alignment horizontal="left" vertical="center" wrapText="1"/>
    </xf>
    <xf numFmtId="0" fontId="59" fillId="18" borderId="32" applyAlignment="1" pivotButton="0" quotePrefix="0" xfId="0">
      <alignment horizontal="left" vertical="center" wrapText="1"/>
    </xf>
    <xf numFmtId="0" fontId="62" fillId="10" borderId="32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 indent="1"/>
    </xf>
    <xf numFmtId="0" fontId="58" fillId="0" borderId="0" applyAlignment="1" pivotButton="0" quotePrefix="0" xfId="0">
      <alignment horizontal="left" vertical="center" wrapText="1" indent="1"/>
    </xf>
    <xf numFmtId="0" fontId="64" fillId="10" borderId="32" applyAlignment="1" pivotButton="0" quotePrefix="0" xfId="0">
      <alignment horizontal="left" vertical="center" wrapText="1"/>
    </xf>
    <xf numFmtId="0" fontId="42" fillId="17" borderId="23" applyAlignment="1" applyProtection="1" pivotButton="0" quotePrefix="0" xfId="0">
      <alignment horizontal="center" vertical="center" wrapText="1"/>
      <protection locked="0" hidden="0"/>
    </xf>
    <xf numFmtId="0" fontId="0" fillId="17" borderId="25" applyProtection="1" pivotButton="0" quotePrefix="0" xfId="0">
      <protection locked="0" hidden="0"/>
    </xf>
    <xf numFmtId="0" fontId="0" fillId="17" borderId="30" applyProtection="1" pivotButton="0" quotePrefix="0" xfId="0">
      <protection locked="0" hidden="0"/>
    </xf>
    <xf numFmtId="0" fontId="0" fillId="17" borderId="31" applyProtection="1" pivotButton="0" quotePrefix="0" xfId="0">
      <protection locked="0" hidden="0"/>
    </xf>
    <xf numFmtId="0" fontId="55" fillId="18" borderId="0" applyAlignment="1" pivotButton="0" quotePrefix="0" xfId="0">
      <alignment horizontal="left" vertical="center" wrapText="1"/>
    </xf>
    <xf numFmtId="0" fontId="42" fillId="19" borderId="23" applyAlignment="1" pivotButton="0" quotePrefix="0" xfId="0">
      <alignment horizontal="left" vertical="center" wrapText="1" indent="1"/>
    </xf>
    <xf numFmtId="0" fontId="0" fillId="19" borderId="26" pivotButton="0" quotePrefix="0" xfId="0"/>
    <xf numFmtId="0" fontId="0" fillId="19" borderId="27" pivotButton="0" quotePrefix="0" xfId="0"/>
    <xf numFmtId="0" fontId="4" fillId="19" borderId="23" applyAlignment="1" pivotButton="0" quotePrefix="0" xfId="0">
      <alignment horizontal="left" vertical="center" wrapText="1" indent="1"/>
    </xf>
    <xf numFmtId="0" fontId="42" fillId="17" borderId="23" applyAlignment="1" applyProtection="1" pivotButton="0" quotePrefix="0" xfId="0">
      <alignment horizontal="left" vertical="center" wrapText="1" indent="1"/>
      <protection locked="0" hidden="0"/>
    </xf>
    <xf numFmtId="0" fontId="0" fillId="17" borderId="26" applyProtection="1" pivotButton="0" quotePrefix="0" xfId="0">
      <protection locked="0" hidden="0"/>
    </xf>
    <xf numFmtId="0" fontId="0" fillId="17" borderId="27" applyProtection="1" pivotButton="0" quotePrefix="0" xfId="0">
      <protection locked="0" hidden="0"/>
    </xf>
    <xf numFmtId="0" fontId="4" fillId="17" borderId="23" applyAlignment="1" applyProtection="1" pivotButton="0" quotePrefix="0" xfId="0">
      <alignment horizontal="left" vertical="center" wrapText="1" indent="1"/>
      <protection locked="0" hidden="0"/>
    </xf>
    <xf numFmtId="0" fontId="56" fillId="19" borderId="23" applyAlignment="1" pivotButton="0" quotePrefix="0" xfId="0">
      <alignment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17" borderId="35" applyProtection="1" pivotButton="0" quotePrefix="0" xfId="0">
      <protection locked="0" hidden="0"/>
    </xf>
    <xf numFmtId="0" fontId="0" fillId="17" borderId="36" applyProtection="1" pivotButton="0" quotePrefix="0" xfId="0">
      <protection locked="0" hidden="0"/>
    </xf>
    <xf numFmtId="0" fontId="58" fillId="19" borderId="32" applyAlignment="1" pivotButton="0" quotePrefix="0" xfId="0">
      <alignment horizontal="left" vertical="center" wrapText="1"/>
    </xf>
    <xf numFmtId="0" fontId="0" fillId="19" borderId="35" pivotButton="0" quotePrefix="0" xfId="0"/>
    <xf numFmtId="0" fontId="0" fillId="19" borderId="36" pivotButton="0" quotePrefix="0" xfId="0"/>
    <xf numFmtId="0" fontId="59" fillId="18" borderId="23" applyAlignment="1" pivotButton="0" quotePrefix="0" xfId="0">
      <alignment horizontal="left" vertical="center" wrapText="1"/>
    </xf>
    <xf numFmtId="0" fontId="46" fillId="17" borderId="23" applyAlignment="1" applyProtection="1" pivotButton="0" quotePrefix="0" xfId="0">
      <alignment horizontal="left" vertical="center" wrapText="1" indent="1"/>
      <protection locked="0" hidden="0"/>
    </xf>
    <xf numFmtId="0" fontId="57" fillId="17" borderId="23" applyAlignment="1" applyProtection="1" pivotButton="0" quotePrefix="0" xfId="0">
      <alignment horizontal="left" vertical="center" wrapText="1"/>
      <protection locked="0" hidden="0"/>
    </xf>
    <xf numFmtId="0" fontId="4" fillId="17" borderId="23" applyAlignment="1" applyProtection="1" pivotButton="0" quotePrefix="0" xfId="0">
      <alignment horizontal="center" vertical="center" wrapText="1"/>
      <protection locked="0" hidden="0"/>
    </xf>
    <xf numFmtId="3" fontId="4" fillId="17" borderId="23" applyAlignment="1" applyProtection="1" pivotButton="0" quotePrefix="0" xfId="0">
      <alignment horizontal="center" vertical="center" wrapText="1"/>
      <protection locked="0" hidden="0"/>
    </xf>
    <xf numFmtId="165" fontId="47" fillId="19" borderId="23" applyAlignment="1" pivotButton="0" quotePrefix="0" xfId="0">
      <alignment horizontal="center" vertical="center" wrapText="1"/>
    </xf>
    <xf numFmtId="0" fontId="57" fillId="19" borderId="23" applyAlignment="1" pivotButton="0" quotePrefix="0" xfId="0">
      <alignment horizontal="left" vertical="center" wrapText="1"/>
    </xf>
    <xf numFmtId="0" fontId="57" fillId="19" borderId="32" applyAlignment="1" pivotButton="0" quotePrefix="0" xfId="0">
      <alignment horizontal="left" vertical="center" wrapText="1"/>
    </xf>
    <xf numFmtId="0" fontId="62" fillId="19" borderId="32" applyAlignment="1" pivotButton="0" quotePrefix="0" xfId="0">
      <alignment horizontal="left" vertical="center" wrapText="1"/>
    </xf>
    <xf numFmtId="0" fontId="0" fillId="19" borderId="33" pivotButton="0" quotePrefix="0" xfId="0"/>
    <xf numFmtId="0" fontId="0" fillId="19" borderId="34" pivotButton="0" quotePrefix="0" xfId="0"/>
    <xf numFmtId="0" fontId="0" fillId="19" borderId="37" pivotButton="0" quotePrefix="0" xfId="0"/>
    <xf numFmtId="0" fontId="0" fillId="19" borderId="0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0" pivotButton="0" quotePrefix="0" xfId="0"/>
    <xf numFmtId="0" fontId="0" fillId="19" borderId="41" pivotButton="0" quotePrefix="0" xfId="0"/>
    <xf numFmtId="0" fontId="39" fillId="19" borderId="0" applyAlignment="1" pivotButton="0" quotePrefix="0" xfId="0">
      <alignment horizontal="left" vertical="center" wrapText="1" indent="1"/>
    </xf>
    <xf numFmtId="0" fontId="24" fillId="18" borderId="0" applyAlignment="1" pivotButton="0" quotePrefix="0" xfId="0">
      <alignment horizontal="left" vertical="center" wrapText="1" indent="1"/>
    </xf>
    <xf numFmtId="0" fontId="43" fillId="18" borderId="0" applyAlignment="1" pivotButton="0" quotePrefix="0" xfId="0">
      <alignment horizontal="left" vertical="center" wrapText="1" indent="1"/>
    </xf>
    <xf numFmtId="0" fontId="19" fillId="19" borderId="0" applyAlignment="1" pivotButton="0" quotePrefix="0" xfId="0">
      <alignment horizontal="left" vertical="center" wrapText="1" indent="1"/>
    </xf>
    <xf numFmtId="0" fontId="58" fillId="19" borderId="0" applyAlignment="1" pivotButton="0" quotePrefix="0" xfId="0">
      <alignment horizontal="left" vertical="center" wrapText="1" indent="1"/>
    </xf>
    <xf numFmtId="0" fontId="42" fillId="19" borderId="0" applyAlignment="1" pivotButton="0" quotePrefix="0" xfId="0">
      <alignment horizontal="left" vertical="center" wrapText="1" indent="1"/>
    </xf>
    <xf numFmtId="0" fontId="40" fillId="18" borderId="0" applyAlignment="1" pivotButton="0" quotePrefix="0" xfId="0">
      <alignment horizontal="left" vertical="center" wrapText="1" indent="1"/>
    </xf>
    <xf numFmtId="0" fontId="64" fillId="19" borderId="32" applyAlignment="1" pivotButton="0" quotePrefix="0" xfId="0">
      <alignment horizontal="left" vertical="center" wrapText="1"/>
    </xf>
    <xf numFmtId="0" fontId="48" fillId="19" borderId="0" applyAlignment="1" pivotButton="0" quotePrefix="0" xfId="0">
      <alignment horizontal="left" vertical="center" wrapText="1" indent="1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0" fillId="10" borderId="35" pivotButton="0" quotePrefix="0" xfId="0"/>
    <xf numFmtId="0" fontId="0" fillId="10" borderId="36" pivotButton="0" quotePrefix="0" xfId="0"/>
    <xf numFmtId="0" fontId="0" fillId="18" borderId="35" pivotButton="0" quotePrefix="0" xfId="0"/>
    <xf numFmtId="0" fontId="0" fillId="18" borderId="36" pivotButton="0" quotePrefix="0" xfId="0"/>
    <xf numFmtId="0" fontId="65" fillId="18" borderId="0" applyAlignment="1" pivotButton="0" quotePrefix="0" xfId="0">
      <alignment horizontal="left" vertical="center" wrapText="1" indent="1"/>
    </xf>
    <xf numFmtId="0" fontId="0" fillId="18" borderId="0" pivotButton="0" quotePrefix="0" xfId="0"/>
  </cellXfs>
  <cellStyles count="1">
    <cellStyle name="Normal" xfId="0" builtinId="0" hidden="0"/>
  </cellStyles>
  <dxfs count="6">
    <dxf>
      <font>
        <b val="1"/>
        <color rgb="00216348"/>
      </font>
      <fill>
        <patternFill patternType="solid">
          <fgColor rgb="00E6F2EB"/>
        </patternFill>
      </fill>
    </dxf>
    <dxf>
      <font>
        <b val="1"/>
        <color rgb="009C2A2A"/>
      </font>
      <fill>
        <patternFill patternType="solid">
          <fgColor rgb="00FCE9E9"/>
        </patternFill>
      </fill>
    </dxf>
    <dxf>
      <font>
        <b val="1"/>
        <color rgb="0080601B"/>
      </font>
      <fill>
        <patternFill patternType="solid">
          <fgColor rgb="00FFF4D7"/>
        </patternFill>
      </fill>
    </dxf>
    <dxf>
      <font>
        <b val="1"/>
        <color rgb="00216348"/>
      </font>
    </dxf>
    <dxf>
      <font>
        <b val="1"/>
        <color rgb="009C2A2A"/>
      </font>
    </dxf>
    <dxf>
      <font>
        <b val="1"/>
        <color rgb="008060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User</author>
  </authors>
  <commentList>
    <comment ref="A1" authorId="0" shapeId="0">
      <text>
        <t>부품 식별자: CAP</t>
      </text>
    </comment>
    <comment ref="A4" authorId="0" shapeId="0">
      <text>
        <t>이전 v2 내용(참고):
시스템 자동 기입 · 발행 시점 고정  |  담당·기한·문서 상태는 관리자 갱신</t>
      </text>
    </comment>
    <comment ref="C5" authorId="0" shapeId="0">
      <text>
        <t>이전 v2 내용(참고):
QA-CAP-CRACK-20260819-001</t>
      </text>
    </comment>
    <comment ref="J5" authorId="0" shapeId="0">
      <text>
        <t>이전 v2 내용(참고):
2026-08-19 09:00:00</t>
      </text>
    </comment>
    <comment ref="C6" authorId="0" shapeId="0">
      <text>
        <t>제조사 P/N·정격·공급사 (이전 v2)
일치 · Contoso CX-0603X7R104K100
정격 0.10µF ±10% 100V X7R 0603 · 공급사 Northwind Traders
자세한 비교는 「부품 검토자료」 참조.
이전 v2 내용(참고):
CAP  (MLCC)</t>
      </text>
    </comment>
    <comment ref="J6" authorId="0" shapeId="0">
      <text>
        <t>이전 v2 내용(참고):
CRACK</t>
      </text>
    </comment>
    <comment ref="C7" authorId="0" shapeId="0">
      <text>
        <t>시스템은 배정 대기만 초기 기입합니다. 실제 주관 담당자는 관리자가 작성합니다.
이전 v2 내용(참고):
품질보증팀 김OO</t>
      </text>
    </comment>
    <comment ref="J7" authorId="0" shapeId="0">
      <text>
        <t>시스템은 담당자 입력만 초기 기입합니다. 실제 협조 부서는 관리자가 작성합니다.
이전 v2 내용(참고):
설비팀 · 생산팀 · 구매</t>
      </text>
    </comment>
    <comment ref="C8" authorId="0" shapeId="0">
      <text>
        <t>이전 v2 내용(참고):
Job 7112 · Unit 10412 · CAP-02</t>
      </text>
    </comment>
    <comment ref="J8" authorId="0" shapeId="0">
      <text>
        <t>이전 v2 내용(참고):
2026-08-18 16:30:12</t>
      </text>
    </comment>
    <comment ref="A9" authorId="0" shapeId="0">
      <text>
        <t>문서 상태와 회신 기한은 시스템이 ISSUED / 담당자 입력으로 초기화하며 이후 관리자가 갱신합니다. Job 상태 또는 DB의 메일 전송 상태와 별개입니다.
이전 v2 내용(참고):
상태  CLOSED  ·  ①~⑥ 작성 완료  ·  발행 기준: 확정 불량 1건</t>
      </text>
    </comment>
    <comment ref="A12" authorId="0" shapeId="0">
      <text>
        <t xml:space="preserve">실제 발주·입고 자료로 확인한 업체명. 데이터시트 공급사를 자동 전사하지 않습니다.
이전 v2 내용(참고):
</t>
      </text>
    </comment>
    <comment ref="E12" authorId="0" shapeId="0">
      <text>
        <t xml:space="preserve">업체 담당자·직책·연락처. 접수 확인은 불량 근거에 기록합니다.
이전 v2 내용(참고):
</t>
      </text>
    </comment>
    <comment ref="I12" authorId="0" shapeId="0">
      <text>
        <t xml:space="preserve">요청 마감 일시와 시간대. 원인·대책 기한은 초동 조치 칸에 기록합니다.
이전 v2 내용(참고):
</t>
      </text>
    </comment>
    <comment ref="C13" authorId="0" shapeId="0">
      <text>
        <t>이전 v2 내용(참고):
2026-08-12 ~ 08-19  (7일 / ROLLING)</t>
      </text>
    </comment>
    <comment ref="J13" authorId="0" shapeId="0">
      <text>
        <t>이전 v2 내용(참고):
mock-v3</t>
      </text>
    </comment>
    <comment ref="A14" authorId="0" shapeId="0">
      <text>
        <t>동일 Job·부품·불량 유형, 대상 검사 시점까지 누적. 검사 수량은 검사 Unit 수 × 부품 슬롯 수. 폐기 수량이나 납품 Lot 불량률이 아닙니다.</t>
      </text>
    </comment>
    <comment ref="A15" authorId="0" shapeId="0">
      <text>
        <t>이전 v2 내용(참고):
자동 분석</t>
      </text>
    </comment>
    <comment ref="C15" authorId="0" shapeId="0">
      <text>
        <t>상세 원문 (이전 v2)
확정 불량 1건을 기준으로 즉시 발행했다. 발행 시점까지 동일 Job·부품·유형은 16건이며 CAP-02·CAP-04에 13건이 기록됐다. 원인은 자동 추정하지 않으며 담당자가 검사 이미지와 데이터시트 품질 기준을 확인한다.
이전 v2 내용(참고):
확정 불량 1건으로 발행. 동일 Job·부품·유형 누적 16건 중 CAP-02·CAP-04에 13건 집중. 원인은 자동 추정하지 않으며 담당자가 이미지·품질 기준을 확인.</t>
      </text>
    </comment>
    <comment ref="A17" authorId="0" shapeId="0">
      <text>
        <t>이전 v2 내용(참고):
관리자 직접 작성  |  ①~⑥ 조치·원인·대책·검증·종결 (예시)</t>
      </text>
    </comment>
    <comment ref="A18" authorId="0" shapeId="0">
      <text>
        <t>이전 v2 내용(참고):
① 초동 조치</t>
      </text>
    </comment>
    <comment ref="C18" authorId="0" shapeId="0">
      <text>
        <t>이전 v2 내용(참고):
■ 생산 중단    ■ 출하 보류    ■ 재고 선별    □ 고객 통보    □ 설비 정지</t>
      </text>
    </comment>
    <comment ref="C19" authorId="0" shapeId="0">
      <text>
        <t>당사 담당자가 작성: 조치 요청 범위 / 실제 실행 시각·확인자 / 확정·의심 수량 구분 / 초기·원인·대책 회신 마감 / 관련 문서번호. 자동 정지 완료로 해석하지 않습니다.</t>
      </text>
    </comment>
    <comment ref="A20" authorId="0" shapeId="0">
      <text>
        <t>이전 v2 내용(참고):
② 발생 원인</t>
      </text>
    </comment>
    <comment ref="C20" authorId="0" shapeId="0">
      <text>
        <t>② 발생 원인의 핵심을 한 줄로 요약합니다.
이전 v2 내용(참고):
배치 하강속도 상향 + 지지 핀 최원거리 슬롯</t>
      </text>
    </comment>
    <comment ref="C21" authorId="0" shapeId="0">
      <text>
        <t>거래처 또는 조치부서 회신: 발생 원인 + 재현·비교 시험 근거 + 책임 판단. 추정과 입증을 구분합니다.</t>
      </text>
    </comment>
    <comment ref="A22" authorId="0" shapeId="0">
      <text>
        <t>이전 v2 내용(참고):
③ 유출 원인</t>
      </text>
    </comment>
    <comment ref="C22" authorId="0" shapeId="0">
      <text>
        <t>왜 기존 검사에서 발견하지 못했는지, 해당 검사 기준·검출 능력과 입증 자료를 적습니다.</t>
      </text>
    </comment>
    <comment ref="A23" authorId="0" shapeId="0">
      <text>
        <t>이전 v2 내용(참고):
④ 재발방지
대책</t>
      </text>
    </comment>
    <comment ref="C23" authorId="0" shapeId="0">
      <text>
        <t>변경 내용, 담당자, 완료 예정·실제 일시, 적용 Lot 또는 Unit, 변경 승인·효과 검증 자료 번호.</t>
      </text>
    </comment>
    <comment ref="A24" authorId="0" shapeId="0">
      <text>
        <t>이전 v2 내용(참고):
⑤ 효과 검증</t>
      </text>
    </comment>
    <comment ref="C25" authorId="0" shapeId="0">
      <text>
        <t>이전 v2 내용(참고):
08-29 ~ 09-12</t>
      </text>
    </comment>
    <comment ref="E25" authorId="0" shapeId="0">
      <text>
        <t>이전 v2 내용(참고):
mock-v4</t>
      </text>
    </comment>
    <comment ref="G25" authorId="0" shapeId="0">
      <text>
        <t>이전 v2 내용(참고):
24500</t>
      </text>
    </comment>
    <comment ref="I25" authorId="0" shapeId="0">
      <text>
        <t>이전 v2 내용(참고):
3</t>
      </text>
    </comment>
    <comment ref="C26" authorId="0" shapeId="0">
      <text>
        <t>이전 v2 내용(참고):
불량률(자동 계산)</t>
      </text>
    </comment>
    <comment ref="F26" authorId="0" shapeId="0">
      <text>
        <t>자동 계산. 검증 불량 수량 ÷ 검증 검사 수량. 검증 수량은 부품 검사 건수 기준입니다.</t>
      </text>
    </comment>
    <comment ref="H26" authorId="0" shapeId="0">
      <text>
        <t>이전 v2 내용(참고):
검증 수량: 부품 검사 건수 기준</t>
      </text>
    </comment>
    <comment ref="C27" authorId="0" shapeId="0">
      <text>
        <t>상세 원문 (이전 v2)
CRACK 3건 / 24,500건 = 122 PPM. 기준 400 PPM 의 0.31배이고 최소 검사 건수를 충족한다. 대책 전 1,280 PPM 대비 10.5배 개선, CAP-02·CAP-04 집중도도 해소됐다.
이전 v2 내용(참고):
24,500건 중 3건, 122 PPM으로 기준 400 PPM의 0.31배. 최소 검사 건수 충족, 대책 전 대비 10.5배 개선. CAP-02·CAP-04 집중도 해소.</t>
      </text>
    </comment>
    <comment ref="A28" authorId="0" shapeId="0">
      <text>
        <t>이전 v2 내용(참고):
⑥ 종결</t>
      </text>
    </comment>
    <comment ref="H28" authorId="0" shapeId="0">
      <text>
        <t>이전 v2 내용(참고):
잔여 위험 · 이관 사항 확인</t>
      </text>
    </comment>
    <comment ref="C29" authorId="0" shapeId="0">
      <text>
        <t>상세 원문 (이전 v2)
영구대책 적용과 효과가 확인되어 종결한다. 잔여 위험 — 지지 핀은 현재 보드 리비전 기준이라 레이아웃 변경 시 재검토가 필요하다. AOI 기준 보완은 별건 QA-PROC-2609-003 으로 이관.
이전 v2 내용(참고):
영구대책 효과 확인으로 종결. 보드 리비전 변경 시 지지 핀 재검토 필요. AOI 기준 보완은 QA-PROC-2609-003으로 이관.</t>
      </text>
    </comment>
    <comment ref="A30" authorId="0" shapeId="0">
      <text>
        <t>이전 v2 내용(참고):
노랑: 관리자 작성 · 파랑: 자동 계산 · 그 외: 시스템 기입 / 종결 내용은 가상 예시·상세 원문은 메모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10" authorId="0" shapeId="0">
      <text>
        <t>적용 규격·개정 / 허용 기준 / 실측값 / 시험·사진 번호</t>
      </text>
    </comment>
    <comment ref="B11" authorId="0" shapeId="0">
      <text>
        <t>실제 납품업체 / PO·납품 번호 / 제조 Lot·Date Code / 입고일</t>
      </text>
    </comment>
    <comment ref="B12" authorId="0" shapeId="0">
      <text>
        <t>확정 불량 / 의심 수량 / 재고·공정품·기출하 / 격리 위치</t>
      </text>
    </comment>
    <comment ref="B13" authorId="0" shapeId="0">
      <text>
        <t>기판 기능 결과 / 재작업·폐기 판정 / 근거 번호</t>
      </text>
    </comment>
    <comment ref="B14" authorId="0" shapeId="0">
      <text>
        <t>통보·접수 확인 일시 / 실제 회신 일시 / 관련 대책서 번호</t>
      </text>
    </comment>
    <comment ref="B15" authorId="0" shapeId="0">
      <text>
        <t>정지·재개 확인자와 시각 / 공수·폐기 수량 / 비용 증빙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A1" authorId="0" shapeId="0">
      <text>
        <t>이전 v2 내용(참고):
부품 검토자료 · 시스템 자동 기입</t>
      </text>
    </comment>
    <comment ref="C5" authorId="0" shapeId="0">
      <text>
        <t>데이터시트의 공급사 정보입니다. 해당 불량품의 실제 납품업체·귀책과 연결되지 않습니다.</t>
      </text>
    </comment>
    <comment ref="B9" authorId="0" shapeId="0">
      <text>
        <t>현행 데이터시트 대조로 공통 기준을 포함했습니다.
이전 샘플 문구:
외관/단자, 0603·100V·X7R 확인, LCR·절연저항 샘플</t>
      </text>
    </comment>
    <comment ref="E9" authorId="0" shapeId="0">
      <text>
        <t>현행 데이터시트 대조로 공통 기준을 포함했습니다.
이전 샘플 문구:
크랙/IR 저하는 Lot·패널 위치별 격리, 보드 굴곡·분리·프로브 지지 조건을 재현하고 공정 조건 수정</t>
      </text>
    </comment>
    <comment ref="B10" authorId="0" shapeId="0">
      <text>
        <t>현행 데이터시트 대조로 공통 기준을 포함했습니다.
이전 샘플 문구:
land/reflow 준수; panel depanel·ICT probe·connector 체결 시 board support로 보드 굽힘 억제</t>
      </text>
    </comment>
    <comment ref="B11" authorId="0" shapeId="0">
      <text>
        <t>현행 데이터시트 대조로 공통 기준을 포함했습니다.
이전 샘플 문구:
AOI, LCR/IR; crack 의심 Lot 단면 또는 비파괴 검사</t>
      </text>
    </comment>
    <comment ref="A12" authorId="0" shapeId="0">
      <text>
        <t>이전 v2 내용(참고):
Checklist 공통·부품별 항목을 함께 조회 · 원인·적합성 판단은 관리자 작성</t>
      </text>
    </comment>
    <comment ref="A18" authorId="0" shapeId="0">
      <text>
        <t>같은 부품 타입의 후보 목록이며 대체 승인 목록이 아닙니다. 원본 데이터시트에서 MPN별 정격·공급사·가격을 확인합니다.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233D59"/>
    <outlinePr summaryBelow="1" summaryRight="1"/>
    <pageSetUpPr fitToPage="0"/>
  </sheetPr>
  <dimension ref="A1:L30"/>
  <sheetViews>
    <sheetView showGridLines="0" zoomScale="90" workbookViewId="0">
      <selection activeCell="A1" sqref="A1"/>
    </sheetView>
  </sheetViews>
  <sheetFormatPr baseColWidth="8" defaultRowHeight="15"/>
  <cols>
    <col width="6.4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</cols>
  <sheetData>
    <row r="1" ht="17" customHeight="1">
      <c r="A1" s="156" t="inlineStr">
        <is>
          <t>불 량 대 책 서</t>
        </is>
      </c>
      <c r="G1" s="118" t="inlineStr">
        <is>
          <t>작성</t>
        </is>
      </c>
      <c r="H1" s="119" t="n"/>
      <c r="I1" s="118" t="inlineStr">
        <is>
          <t>검토</t>
        </is>
      </c>
      <c r="J1" s="119" t="n"/>
      <c r="K1" s="118" t="inlineStr">
        <is>
          <t>승인</t>
        </is>
      </c>
      <c r="L1" s="119" t="n"/>
    </row>
    <row r="2" ht="15" customHeight="1">
      <c r="G2" s="190" t="n"/>
      <c r="H2" s="157" t="n"/>
      <c r="I2" s="190" t="n"/>
      <c r="J2" s="157" t="n"/>
      <c r="K2" s="190" t="n"/>
      <c r="L2" s="157" t="n"/>
    </row>
    <row r="3" ht="15" customHeight="1">
      <c r="G3" s="158" t="n"/>
      <c r="H3" s="159" t="n"/>
      <c r="I3" s="158" t="n"/>
      <c r="J3" s="159" t="n"/>
      <c r="K3" s="158" t="n"/>
      <c r="L3" s="159" t="n"/>
    </row>
    <row r="4" ht="18" customHeight="1">
      <c r="A4" s="194" t="inlineStr">
        <is>
          <t>01  발생 사실 · 시스템 자동 기입  |  확정 불량 개별 건 발행  /  가상 종결 예시</t>
        </is>
      </c>
    </row>
    <row r="5" ht="24" customHeight="1">
      <c r="A5" s="118" t="inlineStr">
        <is>
          <t>문서번호</t>
        </is>
      </c>
      <c r="B5" s="119" t="n"/>
      <c r="C5" s="195" t="inlineStr">
        <is>
          <t>QA-D9001-CAP-CRACK</t>
        </is>
      </c>
      <c r="D5" s="126" t="n"/>
      <c r="E5" s="126" t="n"/>
      <c r="F5" s="126" t="n"/>
      <c r="G5" s="119" t="n"/>
      <c r="H5" s="118" t="inlineStr">
        <is>
          <t>발행일시</t>
        </is>
      </c>
      <c r="I5" s="119" t="n"/>
      <c r="J5" s="198" t="inlineStr">
        <is>
          <t>2026-09-07 12:05:00</t>
        </is>
      </c>
      <c r="K5" s="126" t="n"/>
      <c r="L5" s="119" t="n"/>
    </row>
    <row r="6" ht="30" customHeight="1">
      <c r="A6" s="118" t="inlineStr">
        <is>
          <t>대상 부품</t>
        </is>
      </c>
      <c r="B6" s="119" t="n"/>
      <c r="C6" s="195" t="inlineStr">
        <is>
          <t>CAP · Contoso CX-0603X7R104K100 (MLCC)</t>
        </is>
      </c>
      <c r="D6" s="126" t="n"/>
      <c r="E6" s="126" t="n"/>
      <c r="F6" s="126" t="n"/>
      <c r="G6" s="119" t="n"/>
      <c r="H6" s="118" t="inlineStr">
        <is>
          <t>불량 유형</t>
        </is>
      </c>
      <c r="I6" s="119" t="n"/>
      <c r="J6" s="198" t="inlineStr">
        <is>
          <t>CRACK</t>
        </is>
      </c>
      <c r="K6" s="126" t="n"/>
      <c r="L6" s="119" t="n"/>
    </row>
    <row r="7" ht="22" customHeight="1">
      <c r="A7" s="118" t="inlineStr">
        <is>
          <t>주관 담당</t>
        </is>
      </c>
      <c r="B7" s="119" t="n"/>
      <c r="C7" s="199" t="inlineStr">
        <is>
          <t>품질보증 김OO</t>
        </is>
      </c>
      <c r="D7" s="161" t="n"/>
      <c r="E7" s="161" t="n"/>
      <c r="F7" s="161" t="n"/>
      <c r="G7" s="162" t="n"/>
      <c r="H7" s="118" t="inlineStr">
        <is>
          <t>협조 부서</t>
        </is>
      </c>
      <c r="I7" s="119" t="n"/>
      <c r="J7" s="202" t="inlineStr">
        <is>
          <t>생산기술 · 구매</t>
        </is>
      </c>
      <c r="K7" s="161" t="n"/>
      <c r="L7" s="162" t="n"/>
    </row>
    <row r="8" ht="30" customHeight="1">
      <c r="A8" s="118" t="inlineStr">
        <is>
          <t>발행 대상</t>
        </is>
      </c>
      <c r="B8" s="119" t="n"/>
      <c r="C8" s="203" t="inlineStr">
        <is>
          <t>Job 12345678-1234-5678-1234-567812345678
Unit 103 · CAP-02</t>
        </is>
      </c>
      <c r="D8" s="126" t="n"/>
      <c r="E8" s="126" t="n"/>
      <c r="F8" s="126" t="n"/>
      <c r="G8" s="119" t="n"/>
      <c r="H8" s="118" t="inlineStr">
        <is>
          <t>검사 시각</t>
        </is>
      </c>
      <c r="I8" s="119" t="n"/>
      <c r="J8" s="198" t="inlineStr">
        <is>
          <t>2026-09-07 12:00:00</t>
        </is>
      </c>
      <c r="K8" s="126" t="n"/>
      <c r="L8" s="119" t="n"/>
    </row>
    <row r="9" ht="20" customHeight="1">
      <c r="A9" s="164" t="inlineStr">
        <is>
          <t>문서 상태: 종결  |  확정 불량 1건 확인에 따른 통보 · 조치 실행 여부는 담당자 확인</t>
        </is>
      </c>
      <c r="B9" s="161" t="n"/>
      <c r="C9" s="161" t="n"/>
      <c r="D9" s="161" t="n"/>
      <c r="E9" s="161" t="n"/>
      <c r="F9" s="161" t="n"/>
      <c r="G9" s="161" t="n"/>
      <c r="H9" s="161" t="n"/>
      <c r="I9" s="161" t="n"/>
      <c r="J9" s="161" t="n"/>
      <c r="K9" s="161" t="n"/>
      <c r="L9" s="162" t="n"/>
    </row>
    <row r="10" ht="6" customHeight="1"/>
    <row r="11" ht="17" customHeight="1">
      <c r="A11" s="167" t="inlineStr">
        <is>
          <t>02  실제 납품업체 · 당사 작성</t>
        </is>
      </c>
      <c r="B11" s="204" t="n"/>
      <c r="C11" s="204" t="n"/>
      <c r="D11" s="205" t="n"/>
      <c r="E11" s="167" t="inlineStr">
        <is>
          <t>거래처 회신 책임자 · 당사 작성</t>
        </is>
      </c>
      <c r="F11" s="204" t="n"/>
      <c r="G11" s="204" t="n"/>
      <c r="H11" s="205" t="n"/>
      <c r="I11" s="167" t="inlineStr">
        <is>
          <t>초기 회신 기한 · 당사 작성</t>
        </is>
      </c>
      <c r="J11" s="204" t="n"/>
      <c r="K11" s="204" t="n"/>
      <c r="L11" s="205" t="n"/>
    </row>
    <row r="12" ht="25" customHeight="1">
      <c r="A12" s="168" t="inlineStr">
        <is>
          <t>예시 납품업체 A (가상)</t>
        </is>
      </c>
      <c r="B12" s="237" t="n"/>
      <c r="C12" s="237" t="n"/>
      <c r="D12" s="238" t="n"/>
      <c r="E12" s="169" t="inlineStr">
        <is>
          <t>이OO / 품질담당</t>
        </is>
      </c>
      <c r="F12" s="237" t="n"/>
      <c r="G12" s="237" t="n"/>
      <c r="H12" s="238" t="n"/>
      <c r="I12" s="169" t="inlineStr">
        <is>
          <t>2026-09-08 12:00 KST</t>
        </is>
      </c>
      <c r="J12" s="237" t="n"/>
      <c r="K12" s="237" t="n"/>
      <c r="L12" s="238" t="n"/>
    </row>
    <row r="13" ht="26" customHeight="1">
      <c r="A13" s="118" t="inlineStr">
        <is>
          <t>집계 기간</t>
        </is>
      </c>
      <c r="B13" s="119" t="n"/>
      <c r="C13" s="198" t="inlineStr">
        <is>
          <t>2026-09-07 10:00:00
~ 2026-09-07 12:00:00 (발행 시점 누적)</t>
        </is>
      </c>
      <c r="D13" s="126" t="n"/>
      <c r="E13" s="126" t="n"/>
      <c r="F13" s="126" t="n"/>
      <c r="G13" s="119" t="n"/>
      <c r="H13" s="118" t="inlineStr">
        <is>
          <t>레시피</t>
        </is>
      </c>
      <c r="I13" s="119" t="n"/>
      <c r="J13" s="198" t="inlineStr">
        <is>
          <t>assembly-r1</t>
        </is>
      </c>
      <c r="K13" s="126" t="n"/>
      <c r="L13" s="119" t="n"/>
    </row>
    <row r="14" ht="24" customHeight="1">
      <c r="A14" s="208" t="inlineStr">
        <is>
          <t>누적 참고 | 부품 검사 500건 · 불량 3건 · 6,000 PPM · 불량 Unit 100대 중 3대</t>
        </is>
      </c>
      <c r="B14" s="204" t="n"/>
      <c r="C14" s="204" t="n"/>
      <c r="D14" s="204" t="n"/>
      <c r="E14" s="204" t="n"/>
      <c r="F14" s="204" t="n"/>
      <c r="G14" s="204" t="n"/>
      <c r="H14" s="204" t="n"/>
      <c r="I14" s="204" t="n"/>
      <c r="J14" s="204" t="n"/>
      <c r="K14" s="204" t="n"/>
      <c r="L14" s="205" t="n"/>
    </row>
    <row r="15" ht="48" customHeight="1">
      <c r="A15" s="118" t="inlineStr">
        <is>
          <t>확인 사실</t>
        </is>
      </c>
      <c r="B15" s="119" t="n"/>
      <c r="C15" s="198" t="inlineStr">
        <is>
          <t>확정 불량 9001: Unit 103, CAP-02 슬롯에서 CRACK이 확인됐다.
발행 시점까지 동일 Job·부품·유형 누적 3건이다.
원인은 자동 추정하지 않으며 담당자가 검사 이미지와 품질기준을 확인한다.</t>
        </is>
      </c>
      <c r="D15" s="126" t="n"/>
      <c r="E15" s="126" t="n"/>
      <c r="F15" s="126" t="n"/>
      <c r="G15" s="126" t="n"/>
      <c r="H15" s="126" t="n"/>
      <c r="I15" s="126" t="n"/>
      <c r="J15" s="126" t="n"/>
      <c r="K15" s="126" t="n"/>
      <c r="L15" s="119" t="n"/>
    </row>
    <row r="16" ht="6" customHeight="1"/>
    <row r="17" ht="18" customHeight="1">
      <c r="A17" s="211" t="inlineStr">
        <is>
          <t>03  조치 및 회신  |  당사 작성 → 거래처·조치부서 회신 → 당사 검증</t>
        </is>
      </c>
      <c r="B17" s="126" t="n"/>
      <c r="C17" s="126" t="n"/>
      <c r="D17" s="126" t="n"/>
      <c r="E17" s="126" t="n"/>
      <c r="F17" s="126" t="n"/>
      <c r="G17" s="126" t="n"/>
      <c r="H17" s="126" t="n"/>
      <c r="I17" s="126" t="n"/>
      <c r="J17" s="126" t="n"/>
      <c r="K17" s="126" t="n"/>
      <c r="L17" s="119" t="n"/>
    </row>
    <row r="18" ht="20" customHeight="1">
      <c r="A18" s="118" t="inlineStr">
        <is>
          <t>① 당사
초동·요청</t>
        </is>
      </c>
      <c r="B18" s="138" t="n"/>
      <c r="C18" s="212" t="inlineStr">
        <is>
          <t>요청  □ 생산 보류  □ 출하 보류  □ 격리·선별  □ 원인 분석  □ 기존 대책 연계</t>
        </is>
      </c>
      <c r="D18" s="161" t="n"/>
      <c r="E18" s="161" t="n"/>
      <c r="F18" s="161" t="n"/>
      <c r="G18" s="161" t="n"/>
      <c r="H18" s="161" t="n"/>
      <c r="I18" s="161" t="n"/>
      <c r="J18" s="161" t="n"/>
      <c r="K18" s="161" t="n"/>
      <c r="L18" s="162" t="n"/>
    </row>
    <row r="19" ht="58" customHeight="1">
      <c r="A19" s="140" t="n"/>
      <c r="B19" s="141" t="n"/>
      <c r="C19" s="199" t="inlineStr">
        <is>
          <t>CAP-02 공정 보류 요청 09-07 12:10 / 생산팀 정지 확인 12:15.
Unit 101~103 격리. 공급사 분석 요청, 당사 품질팀이 공정 영향 병행 확인.
초기 회신 09-08 12:00 / 원인·대책 09-10 17:00. 관련 문서: QA-D8999-CAP-CRACK.</t>
        </is>
      </c>
      <c r="D19" s="161" t="n"/>
      <c r="E19" s="161" t="n"/>
      <c r="F19" s="161" t="n"/>
      <c r="G19" s="161" t="n"/>
      <c r="H19" s="161" t="n"/>
      <c r="I19" s="161" t="n"/>
      <c r="J19" s="161" t="n"/>
      <c r="K19" s="161" t="n"/>
      <c r="L19" s="162" t="n"/>
    </row>
    <row r="20" ht="16" customHeight="1">
      <c r="A20" s="118" t="inlineStr">
        <is>
          <t>② 회신
발생 원인</t>
        </is>
      </c>
      <c r="B20" s="138" t="n"/>
      <c r="C20" s="213" t="inlineStr">
        <is>
          <t>당사 공정 기인 확인 · 공급업체 귀책 미확정 → 근거 없음</t>
        </is>
      </c>
      <c r="D20" s="161" t="n"/>
      <c r="E20" s="161" t="n"/>
      <c r="F20" s="161" t="n"/>
      <c r="G20" s="161" t="n"/>
      <c r="H20" s="161" t="n"/>
      <c r="I20" s="161" t="n"/>
      <c r="J20" s="161" t="n"/>
      <c r="K20" s="161" t="n"/>
      <c r="L20" s="162" t="n"/>
    </row>
    <row r="21" ht="52" customHeight="1">
      <c r="A21" s="140" t="n"/>
      <c r="B21" s="141" t="n"/>
      <c r="C21" s="213" t="inlineStr">
        <is>
          <t>생산기술 회신: 보드 지지 조건에 따른 굽힘이 크랙 발생에 기여.
지지 유무 비교 시험에서 재현하고 조건 복원 시 미발생(FA-01).
거래처 회신: 보관 시료 검사 이상 없음(FA-02). 납품품 자체 결함은 확인되지 않음.</t>
        </is>
      </c>
      <c r="D21" s="161" t="n"/>
      <c r="E21" s="161" t="n"/>
      <c r="F21" s="161" t="n"/>
      <c r="G21" s="161" t="n"/>
      <c r="H21" s="161" t="n"/>
      <c r="I21" s="161" t="n"/>
      <c r="J21" s="161" t="n"/>
      <c r="K21" s="161" t="n"/>
      <c r="L21" s="162" t="n"/>
    </row>
    <row r="22" ht="48" customHeight="1">
      <c r="A22" s="118" t="inlineStr">
        <is>
          <t>③ 회신
유출 원인</t>
        </is>
      </c>
      <c r="B22" s="119" t="n"/>
      <c r="C22" s="213" t="inlineStr">
        <is>
          <t>당사 검사 검토: 기존 검사 항목에서 미세 크랙 검출 조건 누락.
누락 지점과 검출 조건을 비교 검증(FA-03).
거래처 출하검사 유출 여부는 입증되지 않아 별도 귀책을 확정하지 않음.</t>
        </is>
      </c>
      <c r="D22" s="161" t="n"/>
      <c r="E22" s="161" t="n"/>
      <c r="F22" s="161" t="n"/>
      <c r="G22" s="161" t="n"/>
      <c r="H22" s="161" t="n"/>
      <c r="I22" s="161" t="n"/>
      <c r="J22" s="161" t="n"/>
      <c r="K22" s="161" t="n"/>
      <c r="L22" s="162" t="n"/>
    </row>
    <row r="23" ht="48" customHeight="1">
      <c r="A23" s="118" t="inlineStr">
        <is>
          <t>④ 회신
영구 대책</t>
        </is>
      </c>
      <c r="B23" s="119" t="n"/>
      <c r="C23" s="213" t="inlineStr">
        <is>
          <t>생산기술: 보드 지지 조건과 검사 기준 보완, 09-10 적용(ECN-01).
적용 레시피 assembly-r2 / 적용 시작 Unit 104 / 담당 박OO.
동일 지지 구조 공정 점검 완료. 구매 부품 변경 없음.</t>
        </is>
      </c>
      <c r="D23" s="161" t="n"/>
      <c r="E23" s="161" t="n"/>
      <c r="F23" s="161" t="n"/>
      <c r="G23" s="161" t="n"/>
      <c r="H23" s="161" t="n"/>
      <c r="I23" s="161" t="n"/>
      <c r="J23" s="161" t="n"/>
      <c r="K23" s="161" t="n"/>
      <c r="L23" s="162" t="n"/>
    </row>
    <row r="24" ht="16" customHeight="1">
      <c r="A24" s="118" t="inlineStr">
        <is>
          <t>⑤ 당사
효과 검증</t>
        </is>
      </c>
      <c r="B24" s="138" t="n"/>
      <c r="C24" s="118" t="inlineStr">
        <is>
          <t>검증 기간</t>
        </is>
      </c>
      <c r="D24" s="119" t="n"/>
      <c r="E24" s="118" t="inlineStr">
        <is>
          <t>적용 레시피</t>
        </is>
      </c>
      <c r="F24" s="119" t="n"/>
      <c r="G24" s="118" t="inlineStr">
        <is>
          <t>검사 수량</t>
        </is>
      </c>
      <c r="H24" s="119" t="n"/>
      <c r="I24" s="118" t="inlineStr">
        <is>
          <t>불량 수량</t>
        </is>
      </c>
      <c r="J24" s="119" t="n"/>
      <c r="K24" s="118" t="inlineStr">
        <is>
          <t>판정</t>
        </is>
      </c>
      <c r="L24" s="119" t="n"/>
    </row>
    <row r="25" ht="24" customHeight="1">
      <c r="A25" s="143" t="n"/>
      <c r="B25" s="144" t="n"/>
      <c r="C25" s="214" t="inlineStr">
        <is>
          <t>09-10 ~ 09-14</t>
        </is>
      </c>
      <c r="D25" s="162" t="n"/>
      <c r="E25" s="214" t="inlineStr">
        <is>
          <t>assembly-r2</t>
        </is>
      </c>
      <c r="F25" s="162" t="n"/>
      <c r="G25" s="215" t="n">
        <v>1000</v>
      </c>
      <c r="H25" s="162" t="n"/>
      <c r="I25" s="215" t="n">
        <v>0</v>
      </c>
      <c r="J25" s="162" t="n"/>
      <c r="K25" s="214" t="inlineStr">
        <is>
          <t>EFFECTIVE</t>
        </is>
      </c>
      <c r="L25" s="162" t="n"/>
    </row>
    <row r="26" ht="20" customHeight="1">
      <c r="A26" s="143" t="n"/>
      <c r="B26" s="144" t="n"/>
      <c r="C26" s="118" t="inlineStr">
        <is>
          <t>불량률 · 자동 계산</t>
        </is>
      </c>
      <c r="D26" s="126" t="n"/>
      <c r="E26" s="119" t="n"/>
      <c r="F26" s="216">
        <f>IF(AND(ISNUMBER(G25),ISNUMBER(I25),G25&gt;0),I25/G25,"")</f>
        <v/>
      </c>
      <c r="G26" s="119" t="n"/>
      <c r="H26" s="217">
        <f>IF(AND(ISNUMBER(G25),ISNUMBER(I25),G25&gt;0),"검증 PPM  "&amp;TEXT(I25/G25*1000000,"#,##0"),"검증 PPM  —")</f>
        <v/>
      </c>
      <c r="I26" s="126" t="n"/>
      <c r="J26" s="126" t="n"/>
      <c r="K26" s="126" t="n"/>
      <c r="L26" s="119" t="n"/>
    </row>
    <row r="27" ht="32" customHeight="1">
      <c r="A27" s="140" t="n"/>
      <c r="B27" s="141" t="n"/>
      <c r="C27" s="199" t="inlineStr">
        <is>
          <t>동일 조건 1,000건 검사, 크랙 0건. 합의 검증 기준 충족(검증기록 V-01).
품질 김OO 확인 / 잔여 위험은 추적 관리.</t>
        </is>
      </c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2" t="n"/>
    </row>
    <row r="28" ht="18" customHeight="1">
      <c r="A28" s="118" t="inlineStr">
        <is>
          <t>⑥ 당사
승인·종결</t>
        </is>
      </c>
      <c r="B28" s="138" t="n"/>
      <c r="C28" s="118" t="inlineStr">
        <is>
          <t>종결일</t>
        </is>
      </c>
      <c r="D28" s="119" t="n"/>
      <c r="E28" s="199" t="inlineStr">
        <is>
          <t>2026-09-15</t>
        </is>
      </c>
      <c r="F28" s="161" t="n"/>
      <c r="G28" s="162" t="n"/>
      <c r="H28" s="149" t="inlineStr">
        <is>
          <t>재개·출하 승인 및 잔여 사항</t>
        </is>
      </c>
      <c r="I28" s="126" t="n"/>
      <c r="J28" s="126" t="n"/>
      <c r="K28" s="126" t="n"/>
      <c r="L28" s="119" t="n"/>
    </row>
    <row r="29" ht="40" customHeight="1">
      <c r="A29" s="140" t="n"/>
      <c r="B29" s="141" t="n"/>
      <c r="C29" s="199" t="inlineStr">
        <is>
          <t>09-10 공정 재개: 생산팀장 승인 / 09-14 출하 보류 해제: 품질팀장 승인.
격리품 처분은 별도 기록. 공급업체 배상 청구 없음.</t>
        </is>
      </c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2" t="n"/>
    </row>
    <row r="30" ht="16" customHeight="1">
      <c r="A30" s="180" t="inlineStr">
        <is>
          <t>연녹색: 자동 기입·자동 계산  |  연노랑: 수동 작성(당사·거래처) / 가상 예시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0" sort="1"/>
  <mergeCells count="70">
    <mergeCell ref="C27:L27"/>
    <mergeCell ref="J6:L6"/>
    <mergeCell ref="E28:G28"/>
    <mergeCell ref="K25:L25"/>
    <mergeCell ref="H26:L26"/>
    <mergeCell ref="A15:B15"/>
    <mergeCell ref="C23:L23"/>
    <mergeCell ref="C24:D24"/>
    <mergeCell ref="C6:G6"/>
    <mergeCell ref="K24:L24"/>
    <mergeCell ref="E24:F24"/>
    <mergeCell ref="K2:L3"/>
    <mergeCell ref="C5:G5"/>
    <mergeCell ref="A18:B19"/>
    <mergeCell ref="A6:B6"/>
    <mergeCell ref="J7:L7"/>
    <mergeCell ref="C19:L19"/>
    <mergeCell ref="A20:B21"/>
    <mergeCell ref="H6:I6"/>
    <mergeCell ref="A7:B7"/>
    <mergeCell ref="C18:L18"/>
    <mergeCell ref="C25:D25"/>
    <mergeCell ref="I25:J25"/>
    <mergeCell ref="E12:H12"/>
    <mergeCell ref="K1:L1"/>
    <mergeCell ref="A14:L14"/>
    <mergeCell ref="C15:L15"/>
    <mergeCell ref="A17:L17"/>
    <mergeCell ref="A11:D11"/>
    <mergeCell ref="F26:G26"/>
    <mergeCell ref="C13:G13"/>
    <mergeCell ref="I11:L11"/>
    <mergeCell ref="A4:L4"/>
    <mergeCell ref="A28:B29"/>
    <mergeCell ref="G24:H24"/>
    <mergeCell ref="A24:B27"/>
    <mergeCell ref="G2:H3"/>
    <mergeCell ref="I24:J24"/>
    <mergeCell ref="H7:I7"/>
    <mergeCell ref="I2:J3"/>
    <mergeCell ref="A5:B5"/>
    <mergeCell ref="C29:L29"/>
    <mergeCell ref="J8:L8"/>
    <mergeCell ref="C20:L20"/>
    <mergeCell ref="H28:L28"/>
    <mergeCell ref="A9:L9"/>
    <mergeCell ref="A23:B23"/>
    <mergeCell ref="H13:I13"/>
    <mergeCell ref="A8:B8"/>
    <mergeCell ref="C8:G8"/>
    <mergeCell ref="A22:B22"/>
    <mergeCell ref="I1:J1"/>
    <mergeCell ref="J5:L5"/>
    <mergeCell ref="A30:L30"/>
    <mergeCell ref="C7:G7"/>
    <mergeCell ref="C22:L22"/>
    <mergeCell ref="E25:F25"/>
    <mergeCell ref="J13:L13"/>
    <mergeCell ref="A12:D12"/>
    <mergeCell ref="G25:H25"/>
    <mergeCell ref="G1:H1"/>
    <mergeCell ref="I12:L12"/>
    <mergeCell ref="A1:F3"/>
    <mergeCell ref="C28:D28"/>
    <mergeCell ref="H5:I5"/>
    <mergeCell ref="C26:E26"/>
    <mergeCell ref="A13:B13"/>
    <mergeCell ref="C21:L21"/>
    <mergeCell ref="H8:I8"/>
    <mergeCell ref="E11:H11"/>
  </mergeCells>
  <conditionalFormatting sqref="K25:L25">
    <cfRule type="cellIs" priority="1" operator="equal" dxfId="3">
      <formula>"EFFECTIVE"</formula>
    </cfRule>
    <cfRule type="cellIs" priority="2" operator="equal" dxfId="4">
      <formula>"INEFFECTIVE"</formula>
    </cfRule>
    <cfRule type="cellIs" priority="3" operator="equal" dxfId="5">
      <formula>"PENDING"</formula>
    </cfRule>
  </conditionalFormatting>
  <dataValidations count="19">
    <dataValidation sqref="J6" showDropDown="0" showInputMessage="1" showErrorMessage="1" allowBlank="1" errorTitle="허용되지 않는 값" error="다음 중 하나여야 한다: MISSING,POSITION_ERROR,ORIENTATION_ERROR,CRACK" promptTitle="불량 유형" prompt="참고 시트 2개은 유형과 무관하게 항상 첨부한다.&#10;어느 자료가 이번 건에 쓸모 있는지는 담당자가 판단한다." type="list">
      <formula1>"MISSING,POSITION_ERROR,ORIENTATION_ERROR,CRACK"</formula1>
    </dataValidation>
    <dataValidation sqref="C18" showDropDown="0" showInputMessage="1" showErrorMessage="0" allowBlank="0" promptTitle="① 협조가 필요한 조치" prompt="담당자 혼자 결정할 수 없는 항목이다. 해당하는 것의 □ 를 ■ 로 바꾸고,&#10;아래 칸에 누구에게 언제 요청했는지 적는다.&#10;&#10;생산 중단 → 생산팀장 · 출하 보류 → 영업/물류 · 재고 선별 → 인력 투입 승인&#10;고객 통보 → 품질보증 책임자 · 설비 정지 → 설비팀&#10;"/>
    <dataValidation sqref="C19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"/>
    <dataValidation sqref="C20" showDropDown="0" showInputMessage="1" showErrorMessage="0" allowBlank="0" promptTitle="② 발생 원인 — 한 줄 요약 (40자)" prompt="본문을 한 줄로 줄인 것. 예: '배치 하강속도 상향 + 지지 핀 최원거리 슬롯'&#10;본문은 길어서 이 칸에 들어가지 않으므로 핵심 원인만 적는다."/>
    <dataValidation sqref="C21" showDropDown="0" showInputMessage="1" showErrorMessage="0" allowBlank="0" promptTitle="② 발생 원인 — 왜 만들어졌는가" prompt="「불량 근거」의 발생 기록과 검사 이미지를 확인한다.&#10;재현 또는 실물 확인으로 검증한 근거를 적는다.&#10;가설이면 '가설'이라고 표시한다.&#10;"/>
    <dataValidation sqref="C22" showDropDown="0" showInputMessage="1" showErrorMessage="0" allowBlank="0" promptTitle="③ 유출 원인 — 왜 검사에서 걸리지 않았는가" prompt="「부품 검토자료」의 데이터시트 검사 항목과 대조해 판정 기준의 한계를 적는다.&#10;검사를 안 한 것인지, 했는데 못 걸른 것인지 구분한다.&#10;"/>
    <dataValidation sqref="C23" showDropDown="0" showInputMessage="1" showErrorMessage="0" allowBlank="0" promptTitle="④ 재발방지 대책 — 원인을 제거하는 영구대책" prompt="레시피·공정조건을 바꾸면 변경 후 recipe_version을 적는다.&#10;부품을 바꾸면 「부품 검토자료」의 대체품 영역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"/>
    <dataValidation sqref="C25" showDropDown="0" showInputMessage="1" showErrorMessage="0" allowBlank="0" promptTitle="⑤ 검증 기간" prompt="대책을 적용하고 다시 집계한 구간. [시작, 끝) 으로 적는다.&#10;"/>
    <dataValidation sqref="E25" showDropDown="0" showInputMessage="1" showErrorMessage="0" allowBlank="0" promptTitle="⑤ 적용 레시피" prompt="대책을 적용한 뒤 실행한 recipe_version.&#10;이 값이 있어야 적용 전후를 같은 제품 안에서 비교할 수 있다.&#10;"/>
    <dataValidation sqref="G25" showDropDown="0" showInputMessage="1" showErrorMessage="0" allowBlank="0" promptTitle="⑤ 검증 검사 수량" prompt="부품 기준 검사 건수 (유닛 수 × 해당 부품 슬롯 수).&#10;"/>
    <dataValidation sqref="G25" showDropDown="0" showInputMessage="0" showErrorMessage="1" allowBlank="1" errorTitle="수량 확인" error="0 이상의 정수를 입력하세요." type="whole" operator="greaterThanOrEqual">
      <formula1>0</formula1>
    </dataValidation>
    <dataValidation sqref="I25" showDropDown="0" showInputMessage="1" showErrorMessage="0" allowBlank="0" promptTitle="⑤ 검증 불량 수량" prompt=""/>
    <dataValidation sqref="I25" showDropDown="0" showInputMessage="0" showErrorMessage="1" allowBlank="1" errorTitle="수량 확인" error="0 이상의 정수를 입력하세요." type="whole" operator="greaterThanOrEqual">
      <formula1>0</formula1>
    </dataValidation>
    <dataValidation sqref="K25" showDropDown="0" showInputMessage="1" showErrorMessage="1" allowBlank="1" errorTitle="허용되지 않는 값" error="다음 중 하나여야 한다: PENDING,EFFECTIVE,INEFFECTIVE" promptTitle="⑤ 판정" prompt="품질 절차에서 정한 판정 기준에 따라 선택한다." type="list">
      <formula1>"PENDING,EFFECTIVE,INEFFECTIVE"</formula1>
    </dataValidation>
    <dataValidation sqref="K25" showDropDown="0" showInputMessage="1" showErrorMessage="0" allowBlank="0" promptTitle="⑤ 판정" prompt="판정 기준과 비교한 결론을 선택한다.&#10;기준은 해당 품질 절차에서 확인한다."/>
    <dataValidation sqref="C27" showDropDown="0" showInputMessage="1" showErrorMessage="0" allowBlank="0" promptTitle="⑤ 판정 근거" prompt="재집계 결과를 그렇게 읽은 이유.&#10;"/>
    <dataValidation sqref="E28" showDropDown="0" showInputMessage="1" showErrorMessage="0" allowBlank="0" promptTitle="⑥ 종결일" prompt=""/>
    <dataValidation sqref="C29" showDropDown="0" showInputMessage="1" showErrorMessage="0" allowBlank="0" promptTitle="⑥ 종결 의견" prompt="잔여 위험과 종결 승인 의견.&#10;"/>
    <dataValidation sqref="G25 I25" showDropDown="0" showInputMessage="0" showErrorMessage="1" allowBlank="1" errorTitle="수량 확인" error="0 이상의 정수를 입력하세요." type="whole" operator="greaterThanOrEqual">
      <formula1>0</formula1>
    </dataValidation>
  </dataValidations>
  <printOptions horizontalCentered="1"/>
  <pageMargins left="0.32" right="0.32" top="0.32" bottom="0.32" header="0.1" footer="0.1"/>
  <pageSetup orientation="portrait" paperSize="9" scale="1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33D59"/>
    <outlinePr summaryBelow="1" summaryRight="1"/>
    <pageSetUpPr fitToPage="1"/>
  </sheetPr>
  <dimension ref="A1:E23"/>
  <sheetViews>
    <sheetView showGridLines="0" zoomScale="90"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2" customWidth="1" min="4" max="4"/>
    <col width="25" customWidth="1" min="5" max="5"/>
  </cols>
  <sheetData>
    <row r="1" ht="34" customHeight="1">
      <c r="A1" s="181" t="inlineStr">
        <is>
          <t>불량 근거 및 납품 추적</t>
        </is>
      </c>
      <c r="B1" s="239" t="n"/>
      <c r="C1" s="239" t="n"/>
      <c r="D1" s="239" t="n"/>
      <c r="E1" s="240" t="n"/>
    </row>
    <row r="2" ht="22" customHeight="1">
      <c r="A2" s="182" t="inlineStr">
        <is>
          <t>연녹색: 시스템 자동 기입 · 연노랑: 담당자 수동 작성 / 가상 예시</t>
        </is>
      </c>
      <c r="B2" s="239" t="n"/>
      <c r="C2" s="239" t="n"/>
      <c r="D2" s="239" t="n"/>
      <c r="E2" s="240" t="n"/>
    </row>
    <row r="3" ht="24" customHeight="1">
      <c r="A3" s="185" t="inlineStr">
        <is>
          <t>01  발행 대상 · 시스템 자동 기입</t>
        </is>
      </c>
      <c r="B3" s="241" t="n"/>
      <c r="C3" s="241" t="n"/>
      <c r="D3" s="241" t="n"/>
      <c r="E3" s="242" t="n"/>
    </row>
    <row r="4" ht="24" customHeight="1">
      <c r="A4" s="218" t="inlineStr">
        <is>
          <t>문서 QA-D9001-CAP-CRACK · 불량 ID 9001 · Unit 103</t>
        </is>
      </c>
      <c r="B4" s="209" t="n"/>
      <c r="C4" s="209" t="n"/>
      <c r="D4" s="209" t="n"/>
      <c r="E4" s="210" t="n"/>
    </row>
    <row r="5" ht="24" customHeight="1">
      <c r="A5" s="218" t="inlineStr">
        <is>
          <t>슬롯 CAP-02 · CRACK · 검사 2026-09-07 12:00:00</t>
        </is>
      </c>
      <c r="B5" s="209" t="n"/>
      <c r="C5" s="209" t="n"/>
      <c r="D5" s="209" t="n"/>
      <c r="E5" s="210" t="n"/>
    </row>
    <row r="6" ht="24" customHeight="1">
      <c r="A6" s="185" t="inlineStr">
        <is>
          <t>02  동일 Job·부품·유형 누적 · 발행 시점 참고</t>
        </is>
      </c>
      <c r="B6" s="241" t="n"/>
      <c r="C6" s="241" t="n"/>
      <c r="D6" s="241" t="n"/>
      <c r="E6" s="242" t="n"/>
    </row>
    <row r="7" ht="22" customHeight="1">
      <c r="A7" s="167" t="inlineStr">
        <is>
          <t>슬롯</t>
        </is>
      </c>
      <c r="B7" s="167" t="inlineStr">
        <is>
          <t>불량 건수</t>
        </is>
      </c>
      <c r="C7" s="167" t="inlineStr">
        <is>
          <t>슬롯 불량률</t>
        </is>
      </c>
      <c r="D7" s="167" t="inlineStr">
        <is>
          <t>집계 기준</t>
        </is>
      </c>
      <c r="E7" s="167" t="inlineStr">
        <is>
          <t>해석</t>
        </is>
      </c>
    </row>
    <row r="8" ht="66" customHeight="1">
      <c r="A8" s="208" t="inlineStr">
        <is>
          <t>CAP-02</t>
        </is>
      </c>
      <c r="B8" s="208" t="inlineStr">
        <is>
          <t>3</t>
        </is>
      </c>
      <c r="C8" s="208" t="inlineStr">
        <is>
          <t>3.00%</t>
        </is>
      </c>
      <c r="D8" s="208" t="inlineStr">
        <is>
          <t>발행 시점까지 동일 Job·부품·유형 누적</t>
        </is>
      </c>
      <c r="E8" s="182" t="inlineStr">
        <is>
          <t>전체 폐기·공급사 귀책을 뜻하지 않음</t>
        </is>
      </c>
    </row>
    <row r="9" ht="24" customHeight="1">
      <c r="A9" s="185" t="inlineStr">
        <is>
          <t>03  판정·납품 추적 · 당사 담당자 작성</t>
        </is>
      </c>
      <c r="B9" s="241" t="n"/>
      <c r="C9" s="241" t="n"/>
      <c r="D9" s="241" t="n"/>
      <c r="E9" s="242" t="n"/>
    </row>
    <row r="10" ht="42" customHeight="1">
      <c r="A10" s="185" t="inlineStr">
        <is>
          <t>판정 근거</t>
        </is>
      </c>
      <c r="B10" s="169" t="inlineStr">
        <is>
          <t>예시 사내 기준 Q-01 rev.1: 크랙 불허 / 현미경 크랙 확인 / FA-01</t>
        </is>
      </c>
      <c r="C10" s="206" t="n"/>
      <c r="D10" s="206" t="n"/>
      <c r="E10" s="207" t="n"/>
    </row>
    <row r="11" ht="42" customHeight="1">
      <c r="A11" s="185" t="inlineStr">
        <is>
          <t>납품 추적</t>
        </is>
      </c>
      <c r="B11" s="169" t="inlineStr">
        <is>
          <t>예시 납품업체 A / PO-DEMO-01 / Lot DEMO-01 / 2026-09-01</t>
        </is>
      </c>
      <c r="C11" s="206" t="n"/>
      <c r="D11" s="206" t="n"/>
      <c r="E11" s="207" t="n"/>
    </row>
    <row r="12" ht="42" customHeight="1">
      <c r="A12" s="185" t="inlineStr">
        <is>
          <t>영향·격리</t>
        </is>
      </c>
      <c r="B12" s="169" t="inlineStr">
        <is>
          <t>확정 불량 Unit 3대 / 3대 격리. 그 외 의심 범위는 추적 기록 참조.</t>
        </is>
      </c>
      <c r="C12" s="206" t="n"/>
      <c r="D12" s="206" t="n"/>
      <c r="E12" s="207" t="n"/>
    </row>
    <row r="13" ht="42" customHeight="1">
      <c r="A13" s="185" t="inlineStr">
        <is>
          <t>기능·처분</t>
        </is>
      </c>
      <c r="B13" s="169" t="inlineStr">
        <is>
          <t>기판 기능 손실·폐기는 자동 판정하지 않음. 처분 기록 DISP-01 참조.</t>
        </is>
      </c>
      <c r="C13" s="206" t="n"/>
      <c r="D13" s="206" t="n"/>
      <c r="E13" s="207" t="n"/>
    </row>
    <row r="14" ht="42" customHeight="1">
      <c r="A14" s="185" t="inlineStr">
        <is>
          <t>접수·회신</t>
        </is>
      </c>
      <c r="B14" s="169" t="inlineStr">
        <is>
          <t>09-07 통보 / 09-08 접수·초기 회신 확인 / 관련 QA-D8999-CAP-CRACK</t>
        </is>
      </c>
      <c r="C14" s="206" t="n"/>
      <c r="D14" s="206" t="n"/>
      <c r="E14" s="207" t="n"/>
    </row>
    <row r="15" ht="42" customHeight="1">
      <c r="A15" s="185" t="inlineStr">
        <is>
          <t>정지·손실</t>
        </is>
      </c>
      <c r="B15" s="169" t="inlineStr">
        <is>
          <t>생산팀 09-07 정지 확인 / 09-10 재개 승인. 비용·공수는 증빙 COST-01.</t>
        </is>
      </c>
      <c r="C15" s="206" t="n"/>
      <c r="D15" s="206" t="n"/>
      <c r="E15" s="207" t="n"/>
    </row>
    <row r="16" ht="24" customHeight="1">
      <c r="A16" s="185" t="inlineStr">
        <is>
          <t>04  검사 이미지 · 시스템 첨부</t>
        </is>
      </c>
      <c r="B16" s="241" t="n"/>
      <c r="C16" s="241" t="n"/>
      <c r="D16" s="241" t="n"/>
      <c r="E16" s="242" t="n"/>
    </row>
    <row r="17" ht="40" customHeight="1">
      <c r="A17" s="219" t="inlineStr">
        <is>
          <t>가상 예시 · 실제 검사 이미지 미첨부 · —
SHA-256 —</t>
        </is>
      </c>
      <c r="B17" s="209" t="n"/>
      <c r="C17" s="209" t="n"/>
      <c r="D17" s="209" t="n"/>
      <c r="E17" s="210" t="n"/>
    </row>
    <row r="18" ht="22" customHeight="1">
      <c r="A18" s="218" t="inlineStr">
        <is>
          <t>가상 종결 예시 · 실제 검사 이미지는 포함하지 않았습니다.</t>
        </is>
      </c>
      <c r="B18" s="220" t="n"/>
      <c r="C18" s="220" t="n"/>
      <c r="D18" s="220" t="n"/>
      <c r="E18" s="221" t="n"/>
    </row>
    <row r="19" ht="22" customHeight="1">
      <c r="A19" s="222" t="n"/>
      <c r="B19" s="223" t="n"/>
      <c r="C19" s="223" t="n"/>
      <c r="D19" s="223" t="n"/>
      <c r="E19" s="224" t="n"/>
    </row>
    <row r="20" ht="22" customHeight="1">
      <c r="A20" s="222" t="n"/>
      <c r="B20" s="223" t="n"/>
      <c r="C20" s="223" t="n"/>
      <c r="D20" s="223" t="n"/>
      <c r="E20" s="224" t="n"/>
    </row>
    <row r="21" ht="22" customHeight="1">
      <c r="A21" s="222" t="n"/>
      <c r="B21" s="223" t="n"/>
      <c r="C21" s="223" t="n"/>
      <c r="D21" s="223" t="n"/>
      <c r="E21" s="224" t="n"/>
    </row>
    <row r="22" ht="22" customHeight="1">
      <c r="A22" s="222" t="n"/>
      <c r="B22" s="223" t="n"/>
      <c r="C22" s="223" t="n"/>
      <c r="D22" s="223" t="n"/>
      <c r="E22" s="224" t="n"/>
    </row>
    <row r="23" ht="22" customHeight="1">
      <c r="A23" s="225" t="n"/>
      <c r="B23" s="226" t="n"/>
      <c r="C23" s="226" t="n"/>
      <c r="D23" s="226" t="n"/>
      <c r="E23" s="227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0" sort="0"/>
  <mergeCells count="32">
    <mergeCell ref="A8"/>
    <mergeCell ref="C8"/>
    <mergeCell ref="C7"/>
    <mergeCell ref="D8"/>
    <mergeCell ref="E7"/>
    <mergeCell ref="B15:E15"/>
    <mergeCell ref="A1:E1"/>
    <mergeCell ref="A10"/>
    <mergeCell ref="A6:E6"/>
    <mergeCell ref="A13"/>
    <mergeCell ref="A18:E23"/>
    <mergeCell ref="A16:E16"/>
    <mergeCell ref="A15"/>
    <mergeCell ref="B7"/>
    <mergeCell ref="A11"/>
    <mergeCell ref="A3:E3"/>
    <mergeCell ref="E8"/>
    <mergeCell ref="A2:E2"/>
    <mergeCell ref="B12:E12"/>
    <mergeCell ref="A7"/>
    <mergeCell ref="A5:E5"/>
    <mergeCell ref="B11:E11"/>
    <mergeCell ref="A17:E17"/>
    <mergeCell ref="B14:E14"/>
    <mergeCell ref="B8"/>
    <mergeCell ref="A4:E4"/>
    <mergeCell ref="A12"/>
    <mergeCell ref="B13:E13"/>
    <mergeCell ref="D7"/>
    <mergeCell ref="B10:E10"/>
    <mergeCell ref="A14"/>
    <mergeCell ref="A9:E9"/>
  </mergeCells>
  <printOptions horizontalCentered="1"/>
  <pageMargins left="0.32" right="0.32" top="0.45" bottom="0.45" header="0.5" footer="0.5"/>
  <pageSetup orientation="portrait" paperSize="9" fitToHeight="1" fitToWidth="1"/>
  <headerFooter>
    <oddHeader/>
    <oddFooter>&amp;L&amp;8 &amp;K627083v2 · 불량 근거&amp;C&amp;8 연녹색: 자동 | 연노랑: 수동&amp;R&amp;8 &amp;K627083&amp;P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797A7"/>
    <outlinePr summaryBelow="1" summaryRight="1"/>
    <pageSetUpPr fitToPage="0"/>
  </sheetPr>
  <dimension ref="A1:F21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3" customWidth="1" min="3" max="3"/>
    <col width="7" customWidth="1" min="4" max="4"/>
    <col width="10" customWidth="1" min="5" max="5"/>
    <col width="11" customWidth="1" min="6" max="6"/>
  </cols>
  <sheetData>
    <row r="1" ht="34" customHeight="1">
      <c r="A1" s="187" t="inlineStr">
        <is>
          <t>부품 검토자료 · 내부 참고</t>
        </is>
      </c>
    </row>
    <row r="2" ht="40" customHeight="1">
      <c r="A2" s="228" t="inlineStr">
        <is>
          <t>부품 범주 MLCC · 대조 일치 · 기준일 2026-08-18 · 현행 자료 조회 2026-09-07 14:00:58</t>
        </is>
      </c>
      <c r="B2" s="223" t="n"/>
      <c r="C2" s="223" t="n"/>
      <c r="D2" s="223" t="n"/>
      <c r="E2" s="223" t="n"/>
      <c r="F2" s="223" t="n"/>
    </row>
    <row r="3" ht="22" customHeight="1">
      <c r="A3" s="243" t="inlineStr">
        <is>
          <t>현재 부품  |  데이터시트 대조</t>
        </is>
      </c>
      <c r="B3" s="244" t="n"/>
      <c r="C3" s="244" t="n"/>
      <c r="D3" s="244" t="n"/>
      <c r="E3" s="244" t="n"/>
      <c r="F3" s="244" t="n"/>
    </row>
    <row r="4" ht="28" customHeight="1">
      <c r="A4" s="229" t="inlineStr">
        <is>
          <t>현재 MPN</t>
        </is>
      </c>
      <c r="B4" s="229" t="inlineStr">
        <is>
          <t>핵심 정격</t>
        </is>
      </c>
      <c r="C4" s="229" t="inlineStr">
        <is>
          <t>자료상 공급사</t>
        </is>
      </c>
      <c r="D4" s="230" t="inlineStr">
        <is>
          <t>단가(USD)</t>
        </is>
      </c>
      <c r="E4" s="229" t="inlineStr">
        <is>
          <t>가격 기준 수량</t>
        </is>
      </c>
      <c r="F4" s="229" t="inlineStr">
        <is>
          <t>가격 확인일</t>
        </is>
      </c>
    </row>
    <row r="5" ht="44" customHeight="1">
      <c r="A5" s="231" t="inlineStr">
        <is>
          <t>Contoso CX-0603X7R104K100</t>
        </is>
      </c>
      <c r="B5" s="231" t="inlineStr">
        <is>
          <t>0.10µF ±10% 100V X7R 0603</t>
        </is>
      </c>
      <c r="C5" s="231" t="inlineStr">
        <is>
          <t>Northwind Traders</t>
        </is>
      </c>
      <c r="D5" s="232" t="inlineStr">
        <is>
          <t>$0.15</t>
        </is>
      </c>
      <c r="E5" s="231" t="inlineStr">
        <is>
          <t>1개 (Cut Tape)</t>
        </is>
      </c>
      <c r="F5" s="231" t="inlineStr">
        <is>
          <t>2026-08-14</t>
        </is>
      </c>
    </row>
    <row r="6" ht="8" customHeight="1">
      <c r="A6" s="52" t="n"/>
      <c r="B6" s="52" t="n"/>
      <c r="C6" s="52" t="n"/>
      <c r="D6" s="52" t="n"/>
      <c r="E6" s="52" t="n"/>
      <c r="F6" s="52" t="n"/>
    </row>
    <row r="7" ht="22" customHeight="1">
      <c r="A7" s="243" t="inlineStr">
        <is>
          <t>품질 체크리스트  |  공통 기준 + 부품별 기준</t>
        </is>
      </c>
      <c r="B7" s="244" t="n"/>
      <c r="C7" s="244" t="n"/>
      <c r="D7" s="244" t="n"/>
      <c r="E7" s="244" t="n"/>
      <c r="F7" s="244" t="n"/>
    </row>
    <row r="8" ht="28" customHeight="1">
      <c r="A8" s="229" t="inlineStr">
        <is>
          <t>구분</t>
        </is>
      </c>
      <c r="B8" s="229" t="inlineStr">
        <is>
          <t>확인 항목</t>
        </is>
      </c>
      <c r="C8" s="244" t="n"/>
      <c r="D8" s="244" t="n"/>
      <c r="E8" s="229" t="inlineStr">
        <is>
          <t>이상 시 조치</t>
        </is>
      </c>
      <c r="F8" s="244" t="n"/>
    </row>
    <row r="9" ht="72" customHeight="1">
      <c r="A9" s="229" t="inlineStr">
        <is>
          <t>입고 검사</t>
        </is>
      </c>
      <c r="B9" s="233" t="inlineStr">
        <is>
          <t>승인 공급처, PO/BOM-MPN-revision, 수량, CoC, Lot/date code, 포장·라벨·봉인 대조
외관/단자, 0603·100V·X7R 확인, LCR·절연저항 샘플</t>
        </is>
      </c>
      <c r="C9" s="223" t="n"/>
      <c r="D9" s="223" t="n"/>
      <c r="E9" s="233" t="inlineStr">
        <is>
          <t>Line stop → 의심 Lot 전량 격리 → 영향 범위/재공품 추적 → NCR·공급사 FA/8D·CAPA → 변경 승인 후 재검
크랙/IR 저하는 Lot·패널 위치별 격리, 보드 굴곡·분리·프로브 지지 조건을 재현하고 공정 조건 수정</t>
        </is>
      </c>
      <c r="F9" s="223" t="n"/>
    </row>
    <row r="10" ht="78" customHeight="1">
      <c r="A10" s="229" t="inlineStr">
        <is>
          <t>조립·보관</t>
        </is>
      </c>
      <c r="B10" s="233" t="inlineStr">
        <is>
          <t>격리 상태 표시, ESD/MSL/극성·온습도·노출시간 관리, FIFO, Lot 혼합 금지
land/reflow 준수; panel depanel·ICT probe·connector 체결 시 board support로 굽힘 억제</t>
        </is>
      </c>
      <c r="C10" s="223" t="n"/>
      <c r="D10" s="223" t="n"/>
      <c r="E10" s="223" t="n"/>
      <c r="F10" s="223" t="n"/>
    </row>
    <row r="11" ht="64" customHeight="1">
      <c r="A11" s="229" t="inlineStr">
        <is>
          <t>기능·신뢰성</t>
        </is>
      </c>
      <c r="B11" s="233" t="inlineStr">
        <is>
          <t>초도품 승인 후 Lot별 샘플링; 검사결과와 serial/Lot 추적
AOI, LCR/IR; crack 의심 Lot 단면 또는 비파괴 검사</t>
        </is>
      </c>
      <c r="C11" s="223" t="n"/>
      <c r="D11" s="223" t="n"/>
      <c r="E11" s="223" t="n"/>
      <c r="F11" s="223" t="n"/>
    </row>
    <row r="12" ht="28" customHeight="1">
      <c r="A12" s="188" t="inlineStr">
        <is>
          <t>연녹색: 데이터시트 자동 조회 · 수동 입력란 없음 · 실제 조치 결과는 담당자 확인</t>
        </is>
      </c>
    </row>
    <row r="13" ht="8" customHeight="1">
      <c r="A13" s="52" t="n"/>
      <c r="B13" s="52" t="n"/>
      <c r="C13" s="52" t="n"/>
      <c r="D13" s="52" t="n"/>
      <c r="E13" s="52" t="n"/>
      <c r="F13" s="52" t="n"/>
    </row>
    <row r="14" ht="22" customHeight="1">
      <c r="A14" s="243" t="inlineStr">
        <is>
          <t>대체품 후보  |  적합성 검증·변경 승인 후 적용</t>
        </is>
      </c>
      <c r="B14" s="244" t="n"/>
      <c r="C14" s="244" t="n"/>
      <c r="D14" s="244" t="n"/>
      <c r="E14" s="244" t="n"/>
      <c r="F14" s="244" t="n"/>
    </row>
    <row r="15" ht="48" customHeight="1">
      <c r="A15" s="234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  <c r="B15" s="244" t="n"/>
      <c r="C15" s="244" t="n"/>
      <c r="D15" s="244" t="n"/>
      <c r="E15" s="244" t="n"/>
      <c r="F15" s="244" t="n"/>
    </row>
    <row r="16" ht="26" customHeight="1">
      <c r="A16" s="228" t="inlineStr">
        <is>
          <t>같은 타입 후보 2종 · 단가 $0.09 ~ $0.15 · 현재 선정 $0.15 · 호환성 미승인</t>
        </is>
      </c>
      <c r="B16" s="223" t="n"/>
      <c r="C16" s="223" t="n"/>
      <c r="D16" s="223" t="n"/>
      <c r="E16" s="223" t="n"/>
      <c r="F16" s="223" t="n"/>
    </row>
    <row r="17" ht="30" customHeight="1">
      <c r="A17" s="185" t="inlineStr">
        <is>
          <t>검토 후보 MPN · 상세 정격·가격은 원본 Components에서 MPN으로 확인</t>
        </is>
      </c>
      <c r="B17" s="241" t="n"/>
      <c r="C17" s="241" t="n"/>
      <c r="D17" s="241" t="n"/>
      <c r="E17" s="241" t="n"/>
      <c r="F17" s="242" t="n"/>
    </row>
    <row r="18" ht="50" customHeight="1">
      <c r="A18" s="235" t="inlineStr">
        <is>
          <t>Litware LW-C0603-104K-100
Tailspin TS-0603-104M-100</t>
        </is>
      </c>
      <c r="B18" s="220" t="n"/>
      <c r="C18" s="220" t="n"/>
      <c r="D18" s="220" t="n"/>
      <c r="E18" s="220" t="n"/>
      <c r="F18" s="221" t="n"/>
    </row>
    <row r="19" ht="50" customHeight="1">
      <c r="A19" s="225" t="n"/>
      <c r="B19" s="226" t="n"/>
      <c r="C19" s="226" t="n"/>
      <c r="D19" s="226" t="n"/>
      <c r="E19" s="226" t="n"/>
      <c r="F19" s="227" t="n"/>
    </row>
    <row r="20" ht="42" customHeight="1">
      <c r="A20" s="85" t="inlineStr">
        <is>
          <t>단가는 데이터시트 기준일의 값이고 발주 근거가 아니다. MOQ·재고·리드타임과 상호호환 판정은 이 문서에 없다 → GET /api/v1/parts/CAP 또는 구매·품질 담당</t>
        </is>
      </c>
    </row>
    <row r="21" ht="38" customHeight="1">
      <c r="A21" s="236" t="inlineStr">
        <is>
          <t>원본 semiconductor_assembly_quality_datasheet_2026-08-18.xlsx
SHA-256: e35dacdde1e02dfdc620c1026147d525927b9ca22e4c5ec25c978766c806ad66</t>
        </is>
      </c>
      <c r="B21" s="223" t="n"/>
      <c r="C21" s="223" t="n"/>
      <c r="D21" s="223" t="n"/>
      <c r="E21" s="223" t="n"/>
      <c r="F21" s="2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0" sort="1"/>
  <mergeCells count="18">
    <mergeCell ref="B10:D10"/>
    <mergeCell ref="A2:F2"/>
    <mergeCell ref="A16:F16"/>
    <mergeCell ref="B11:D11"/>
    <mergeCell ref="A14:F14"/>
    <mergeCell ref="A18:F19"/>
    <mergeCell ref="B8:D8"/>
    <mergeCell ref="A1:F1"/>
    <mergeCell ref="A15:F15"/>
    <mergeCell ref="B9:D9"/>
    <mergeCell ref="E9:F11"/>
    <mergeCell ref="A17:F17"/>
    <mergeCell ref="A12:F12"/>
    <mergeCell ref="A3:F3"/>
    <mergeCell ref="A21:F21"/>
    <mergeCell ref="A20:F20"/>
    <mergeCell ref="E8:F8"/>
    <mergeCell ref="A7:F7"/>
  </mergeCells>
  <printOptions horizontalCentered="1"/>
  <pageMargins left="0.32" right="0.32" top="0.35" bottom="0.38" header="0.15" footer="0.17"/>
  <pageSetup orientation="portrait" paperSize="9" scale="100"/>
  <headerFooter>
    <oddHeader/>
    <oddFooter>&amp;L&amp;8 &amp;K627083v2 · 검토용&amp;C&amp;8 연녹색: 자동 | 연노랑: 수동&amp;R&amp;8 &amp;K627083&amp;P /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MAIN_SERVER/generate_defect_reports.py</dc:creator>
  <dc:title xmlns:dc="http://purl.org/dc/elements/1.1/">불량 대책서 v2</dc:title>
  <dc:description xmlns:dc="http://purl.org/dc/elements/1.1/">A4 한 장 대책서 검토용 v2. 상세 불량 근거와 부품 검토자료 별첨.</dc:description>
  <dc:subject xmlns:dc="http://purl.org/dc/elements/1.1/">3개 시트 통합 검토본</dc:subject>
  <dcterms:created xmlns:dcterms="http://purl.org/dc/terms/" xmlns:xsi="http://www.w3.org/2001/XMLSchema-instance" xsi:type="dcterms:W3CDTF">2026-08-19T09:00:00Z</dcterms:created>
  <dcterms:modified xmlns:dcterms="http://purl.org/dc/terms/" xmlns:xsi="http://www.w3.org/2001/XMLSchema-instance" xsi:type="dcterms:W3CDTF">2026-09-07T05:40:14Z</dcterms:modified>
</cp:coreProperties>
</file>